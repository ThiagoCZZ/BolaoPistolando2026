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bolao2026\data\palpites\"/>
    </mc:Choice>
  </mc:AlternateContent>
  <xr:revisionPtr revIDLastSave="0" documentId="13_ncr:1_{24A6EC72-019A-418F-892A-D0CE7BB89DD9}" xr6:coauthVersionLast="47" xr6:coauthVersionMax="47" xr10:uidLastSave="{00000000-0000-0000-0000-000000000000}"/>
  <bookViews>
    <workbookView xWindow="390" yWindow="390" windowWidth="18945" windowHeight="12165" activeTab="1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  <c r="N49" i="1"/>
  <c r="N46" i="1"/>
  <c r="N43" i="1"/>
  <c r="N40" i="1"/>
  <c r="D39" i="1"/>
  <c r="AA26" i="1"/>
  <c r="AA25" i="1"/>
  <c r="Q23" i="1"/>
  <c r="Q18" i="1"/>
  <c r="Q16" i="1"/>
  <c r="AA15" i="1"/>
  <c r="Q11" i="1"/>
  <c r="D10" i="1"/>
  <c r="AA8" i="1"/>
  <c r="D8" i="1"/>
  <c r="N7" i="1"/>
  <c r="AA6" i="1"/>
</calcChain>
</file>

<file path=xl/sharedStrings.xml><?xml version="1.0" encoding="utf-8"?>
<sst xmlns="http://schemas.openxmlformats.org/spreadsheetml/2006/main" count="331" uniqueCount="134">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</sst>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&#225;rio\Downloads\TABELA-DA-COPA-2026-PARA-IMPRESSAO-2.0%20-%20Copia.xlsx" TargetMode="External"/><Relationship Id="rId1" Type="http://schemas.openxmlformats.org/officeDocument/2006/relationships/externalLinkPath" Target="/Users/Usu&#225;rio/Downloads/TABELA-DA-COPA-2026-PARA-IMPRESSAO-2.0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Repescagem"/>
      <sheetName val="Grupos"/>
      <sheetName val="Mata-Mata"/>
    </sheetNames>
    <sheetDataSet>
      <sheetData sheetId="0"/>
      <sheetData sheetId="1">
        <row r="4">
          <cell r="D4" t="str">
            <v>Bósnia e Herzegovina</v>
          </cell>
        </row>
        <row r="5">
          <cell r="D5" t="str">
            <v>Suécia</v>
          </cell>
        </row>
        <row r="6">
          <cell r="D6" t="str">
            <v>Turquia</v>
          </cell>
        </row>
        <row r="7">
          <cell r="D7" t="str">
            <v>República Tcheca</v>
          </cell>
        </row>
        <row r="8">
          <cell r="D8" t="str">
            <v>RD do Congo</v>
          </cell>
        </row>
        <row r="9">
          <cell r="D9" t="str">
            <v>Iraque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workbookViewId="0">
      <selection activeCell="J18" sqref="J18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29" t="s">
        <v>0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26" t="s">
        <v>1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8"/>
      <c r="O5" s="1"/>
      <c r="P5" s="126" t="s">
        <v>2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8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1</v>
      </c>
      <c r="I6" s="91" t="s">
        <v>5</v>
      </c>
      <c r="J6" s="90">
        <v>0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1</v>
      </c>
      <c r="V6" s="119" t="s">
        <v>5</v>
      </c>
      <c r="W6" s="118">
        <v>0</v>
      </c>
      <c r="X6" s="116"/>
      <c r="Y6" s="117"/>
      <c r="Z6" s="116"/>
      <c r="AA6" s="120" t="str">
        <f>IF([1]Repescagem!D4="","Europa 1",[1]Repescagem!D4)</f>
        <v>Bósnia e Herzegovina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1</v>
      </c>
      <c r="I7" s="20" t="s">
        <v>5</v>
      </c>
      <c r="J7" s="19">
        <v>1</v>
      </c>
      <c r="K7" s="4"/>
      <c r="L7" s="18"/>
      <c r="M7" s="4"/>
      <c r="N7" s="21" t="str">
        <f>IF([1]Repescagem!D7="","Europa 4",[1]Repescagem!D7)</f>
        <v>República Tcheca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2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tr">
        <f>IF([1]Repescagem!D7="","Europa 4",[1]Repescagem!D7)</f>
        <v>República Tcheca</v>
      </c>
      <c r="E8" s="4"/>
      <c r="F8" s="18"/>
      <c r="G8" s="4"/>
      <c r="H8" s="19">
        <v>1</v>
      </c>
      <c r="I8" s="20" t="s">
        <v>5</v>
      </c>
      <c r="J8" s="19">
        <v>0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1</v>
      </c>
      <c r="V8" s="20" t="s">
        <v>5</v>
      </c>
      <c r="W8" s="19">
        <v>0</v>
      </c>
      <c r="X8" s="4"/>
      <c r="Y8" s="18"/>
      <c r="Z8" s="4"/>
      <c r="AA8" s="21" t="str">
        <f>IF([1]Repescagem!D4="","Europa 1",[1]Repescagem!D4)</f>
        <v>Bósnia e Herzegovina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1</v>
      </c>
      <c r="I9" s="112" t="s">
        <v>5</v>
      </c>
      <c r="J9" s="111">
        <v>0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2</v>
      </c>
      <c r="V9" s="112" t="s">
        <v>5</v>
      </c>
      <c r="W9" s="111">
        <v>0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tr">
        <f>IF([1]Repescagem!D7="","Europa 4",[1]Repescagem!D7)</f>
        <v>República Tcheca</v>
      </c>
      <c r="E10" s="109"/>
      <c r="F10" s="110"/>
      <c r="G10" s="109"/>
      <c r="H10" s="111">
        <v>0</v>
      </c>
      <c r="I10" s="112" t="s">
        <v>5</v>
      </c>
      <c r="J10" s="111">
        <v>1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1</v>
      </c>
      <c r="V10" s="112" t="s">
        <v>5</v>
      </c>
      <c r="W10" s="111">
        <v>1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1</v>
      </c>
      <c r="I11" s="27" t="s">
        <v>5</v>
      </c>
      <c r="J11" s="26">
        <v>1</v>
      </c>
      <c r="K11" s="24"/>
      <c r="L11" s="25"/>
      <c r="M11" s="24"/>
      <c r="N11" s="28" t="s">
        <v>10</v>
      </c>
      <c r="O11" s="1"/>
      <c r="P11" s="22" t="s">
        <v>19</v>
      </c>
      <c r="Q11" s="23" t="str">
        <f>IF([1]Repescagem!D4="","Europa 1",[1]Repescagem!D4)</f>
        <v>Bósnia e Herzegovina</v>
      </c>
      <c r="R11" s="24"/>
      <c r="S11" s="25"/>
      <c r="T11" s="24"/>
      <c r="U11" s="26">
        <v>1</v>
      </c>
      <c r="V11" s="27" t="s">
        <v>5</v>
      </c>
      <c r="W11" s="26">
        <v>0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26" t="s">
        <v>20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8"/>
      <c r="O13" s="1"/>
      <c r="P13" s="126" t="s">
        <v>21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8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1</v>
      </c>
      <c r="I14" s="91" t="s">
        <v>5</v>
      </c>
      <c r="J14" s="90">
        <v>0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1</v>
      </c>
      <c r="V14" s="119" t="s">
        <v>5</v>
      </c>
      <c r="W14" s="118">
        <v>1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0</v>
      </c>
      <c r="I15" s="20" t="s">
        <v>5</v>
      </c>
      <c r="J15" s="19">
        <v>1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0</v>
      </c>
      <c r="V15" s="20" t="s">
        <v>5</v>
      </c>
      <c r="W15" s="19">
        <v>1</v>
      </c>
      <c r="X15" s="4"/>
      <c r="Y15" s="18"/>
      <c r="Z15" s="4"/>
      <c r="AA15" s="21" t="str">
        <f>IF([1]Repescagem!D6="","Europa 3",[1]Repescagem!D6)</f>
        <v>Turquia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1</v>
      </c>
      <c r="I16" s="20" t="s">
        <v>5</v>
      </c>
      <c r="J16" s="19">
        <v>1</v>
      </c>
      <c r="K16" s="4"/>
      <c r="L16" s="18"/>
      <c r="M16" s="4"/>
      <c r="N16" s="21" t="s">
        <v>24</v>
      </c>
      <c r="O16" s="1"/>
      <c r="P16" s="16" t="s">
        <v>34</v>
      </c>
      <c r="Q16" s="17" t="str">
        <f>IF([1]Repescagem!D6="","Europa 3",[1]Repescagem!D6)</f>
        <v>Turquia</v>
      </c>
      <c r="R16" s="4"/>
      <c r="S16" s="18"/>
      <c r="T16" s="4"/>
      <c r="U16" s="19">
        <v>1</v>
      </c>
      <c r="V16" s="20" t="s">
        <v>5</v>
      </c>
      <c r="W16" s="19">
        <v>1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3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1</v>
      </c>
      <c r="V17" s="112" t="s">
        <v>5</v>
      </c>
      <c r="W17" s="111">
        <v>0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0</v>
      </c>
      <c r="I18" s="98" t="s">
        <v>5</v>
      </c>
      <c r="J18" s="97">
        <v>2</v>
      </c>
      <c r="K18" s="95"/>
      <c r="L18" s="96"/>
      <c r="M18" s="95"/>
      <c r="N18" s="99" t="s">
        <v>23</v>
      </c>
      <c r="O18" s="1"/>
      <c r="P18" s="107" t="s">
        <v>38</v>
      </c>
      <c r="Q18" s="108" t="str">
        <f>IF([1]Repescagem!D6="","Europa 3",[1]Repescagem!D6)</f>
        <v>Turquia</v>
      </c>
      <c r="R18" s="109"/>
      <c r="S18" s="110"/>
      <c r="T18" s="109"/>
      <c r="U18" s="111">
        <v>1</v>
      </c>
      <c r="V18" s="112" t="s">
        <v>5</v>
      </c>
      <c r="W18" s="111">
        <v>1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2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1</v>
      </c>
      <c r="V19" s="27" t="s">
        <v>5</v>
      </c>
      <c r="W19" s="26">
        <v>1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26" t="s">
        <v>39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  <c r="O21" s="1"/>
      <c r="P21" s="126" t="s">
        <v>40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8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4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1</v>
      </c>
      <c r="V22" s="14" t="s">
        <v>5</v>
      </c>
      <c r="W22" s="13">
        <v>1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1</v>
      </c>
      <c r="I23" s="20" t="s">
        <v>5</v>
      </c>
      <c r="J23" s="19">
        <v>1</v>
      </c>
      <c r="K23" s="4"/>
      <c r="L23" s="18"/>
      <c r="M23" s="4"/>
      <c r="N23" s="21" t="s">
        <v>49</v>
      </c>
      <c r="O23" s="1"/>
      <c r="P23" s="16" t="s">
        <v>50</v>
      </c>
      <c r="Q23" s="17" t="str">
        <f>IF([1]Repescagem!D5="","Europa 2",[1]Repescagem!D5)</f>
        <v>Suécia</v>
      </c>
      <c r="R23" s="4"/>
      <c r="S23" s="18"/>
      <c r="T23" s="4"/>
      <c r="U23" s="19">
        <v>1</v>
      </c>
      <c r="V23" s="20" t="s">
        <v>5</v>
      </c>
      <c r="W23" s="19">
        <v>1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2</v>
      </c>
      <c r="I24" s="20" t="s">
        <v>5</v>
      </c>
      <c r="J24" s="19">
        <v>0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0</v>
      </c>
      <c r="V24" s="20" t="s">
        <v>5</v>
      </c>
      <c r="W24" s="19">
        <v>1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2</v>
      </c>
      <c r="I25" s="20" t="s">
        <v>5</v>
      </c>
      <c r="J25" s="19">
        <v>0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1</v>
      </c>
      <c r="V25" s="20" t="s">
        <v>5</v>
      </c>
      <c r="W25" s="19">
        <v>0</v>
      </c>
      <c r="X25" s="4"/>
      <c r="Y25" s="18"/>
      <c r="Z25" s="4"/>
      <c r="AA25" s="21" t="str">
        <f>IF([1]Repescagem!D5="","Europa 2",[1]Repescagem!D5)</f>
        <v>Suécia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1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1</v>
      </c>
      <c r="V26" s="20" t="s">
        <v>5</v>
      </c>
      <c r="W26" s="19">
        <v>1</v>
      </c>
      <c r="X26" s="4"/>
      <c r="Y26" s="18"/>
      <c r="Z26" s="4"/>
      <c r="AA26" s="21" t="str">
        <f>IF([1]Repescagem!D5="","Europa 2",[1]Repescagem!D5)</f>
        <v>Suécia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2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0</v>
      </c>
      <c r="V27" s="27" t="s">
        <v>5</v>
      </c>
      <c r="W27" s="26">
        <v>2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26" t="s">
        <v>58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8"/>
      <c r="O29" s="1"/>
      <c r="P29" s="126" t="s">
        <v>59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8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1</v>
      </c>
      <c r="I30" s="14" t="s">
        <v>5</v>
      </c>
      <c r="J30" s="13">
        <v>0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3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1</v>
      </c>
      <c r="I31" s="20" t="s">
        <v>5</v>
      </c>
      <c r="J31" s="19">
        <v>0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0</v>
      </c>
      <c r="V31" s="20" t="s">
        <v>5</v>
      </c>
      <c r="W31" s="19">
        <v>1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2</v>
      </c>
      <c r="I32" s="20" t="s">
        <v>5</v>
      </c>
      <c r="J32" s="19">
        <v>0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2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0</v>
      </c>
      <c r="I33" s="20" t="s">
        <v>5</v>
      </c>
      <c r="J33" s="19">
        <v>1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2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1</v>
      </c>
      <c r="I34" s="20" t="s">
        <v>5</v>
      </c>
      <c r="J34" s="19">
        <v>1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1</v>
      </c>
      <c r="V34" s="20" t="s">
        <v>5</v>
      </c>
      <c r="W34" s="19">
        <v>1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2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0</v>
      </c>
      <c r="V35" s="27" t="s">
        <v>5</v>
      </c>
      <c r="W35" s="26">
        <v>1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26" t="s">
        <v>78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8"/>
      <c r="O37" s="1"/>
      <c r="P37" s="126" t="s">
        <v>79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8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2</v>
      </c>
      <c r="I38" s="14" t="s">
        <v>5</v>
      </c>
      <c r="J38" s="13">
        <v>0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2</v>
      </c>
      <c r="V38" s="14" t="s">
        <v>5</v>
      </c>
      <c r="W38" s="13">
        <v>0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tr">
        <f>IF([1]Repescagem!D9="","Intercontinental 2",[1]Repescagem!D9)</f>
        <v>Iraque</v>
      </c>
      <c r="E39" s="4"/>
      <c r="F39" s="18"/>
      <c r="G39" s="4"/>
      <c r="H39" s="19">
        <v>0</v>
      </c>
      <c r="I39" s="20" t="s">
        <v>5</v>
      </c>
      <c r="J39" s="19">
        <v>2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2</v>
      </c>
      <c r="V39" s="98" t="s">
        <v>5</v>
      </c>
      <c r="W39" s="97">
        <v>0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2</v>
      </c>
      <c r="I40" s="20" t="s">
        <v>5</v>
      </c>
      <c r="J40" s="19">
        <v>0</v>
      </c>
      <c r="K40" s="4"/>
      <c r="L40" s="18"/>
      <c r="M40" s="4"/>
      <c r="N40" s="21" t="str">
        <f>IF([1]Repescagem!D9="","Intercontinental 2",[1]Repescagem!D9)</f>
        <v>Iraque</v>
      </c>
      <c r="O40" s="1"/>
      <c r="P40" s="93" t="s">
        <v>92</v>
      </c>
      <c r="Q40" s="94" t="s">
        <v>89</v>
      </c>
      <c r="R40" s="95"/>
      <c r="S40" s="96"/>
      <c r="T40" s="95"/>
      <c r="U40" s="97">
        <v>1</v>
      </c>
      <c r="V40" s="98" t="s">
        <v>5</v>
      </c>
      <c r="W40" s="97">
        <v>0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1</v>
      </c>
      <c r="I41" s="20" t="s">
        <v>5</v>
      </c>
      <c r="J41" s="19">
        <v>1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0</v>
      </c>
      <c r="V41" s="20" t="s">
        <v>5</v>
      </c>
      <c r="W41" s="19">
        <v>1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1</v>
      </c>
      <c r="I42" s="20" t="s">
        <v>5</v>
      </c>
      <c r="J42" s="19">
        <v>1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1</v>
      </c>
      <c r="V42" s="20" t="s">
        <v>5</v>
      </c>
      <c r="W42" s="19">
        <v>1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1</v>
      </c>
      <c r="I43" s="27" t="s">
        <v>5</v>
      </c>
      <c r="J43" s="26">
        <v>0</v>
      </c>
      <c r="K43" s="24"/>
      <c r="L43" s="25"/>
      <c r="M43" s="24"/>
      <c r="N43" s="28" t="str">
        <f>IF([1]Repescagem!D9="","Intercontinental 2",[1]Repescagem!D9)</f>
        <v>Iraque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0</v>
      </c>
      <c r="V43" s="105" t="s">
        <v>5</v>
      </c>
      <c r="W43" s="104">
        <v>2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26" t="s">
        <v>97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8"/>
      <c r="O45" s="1"/>
      <c r="P45" s="126" t="s">
        <v>98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8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2</v>
      </c>
      <c r="I46" s="14" t="s">
        <v>5</v>
      </c>
      <c r="J46" s="13">
        <v>0</v>
      </c>
      <c r="K46" s="11"/>
      <c r="L46" s="12"/>
      <c r="M46" s="11"/>
      <c r="N46" s="15" t="str">
        <f>IF([1]Repescagem!D8="","Intercontinental 1",[1]Repescagem!D8)</f>
        <v>RD do Congo</v>
      </c>
      <c r="O46" s="1"/>
      <c r="P46" s="9" t="s">
        <v>101</v>
      </c>
      <c r="Q46" s="10" t="s">
        <v>102</v>
      </c>
      <c r="R46" s="11"/>
      <c r="S46" s="12"/>
      <c r="T46" s="11"/>
      <c r="U46" s="13">
        <v>1</v>
      </c>
      <c r="V46" s="14" t="s">
        <v>5</v>
      </c>
      <c r="W46" s="13">
        <v>0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0</v>
      </c>
      <c r="I47" s="20" t="s">
        <v>5</v>
      </c>
      <c r="J47" s="19">
        <v>2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1</v>
      </c>
      <c r="V47" s="20" t="s">
        <v>5</v>
      </c>
      <c r="W47" s="19">
        <v>1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2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2</v>
      </c>
      <c r="V48" s="20" t="s">
        <v>5</v>
      </c>
      <c r="W48" s="19">
        <v>0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1</v>
      </c>
      <c r="I49" s="20" t="s">
        <v>5</v>
      </c>
      <c r="J49" s="19">
        <v>0</v>
      </c>
      <c r="K49" s="4"/>
      <c r="L49" s="18"/>
      <c r="M49" s="4"/>
      <c r="N49" s="21" t="str">
        <f>IF([1]Repescagem!D8="","Intercontinental 1",[1]Repescagem!D8)</f>
        <v>RD do Congo</v>
      </c>
      <c r="O49" s="1"/>
      <c r="P49" s="16" t="s">
        <v>113</v>
      </c>
      <c r="Q49" s="17" t="s">
        <v>109</v>
      </c>
      <c r="R49" s="4"/>
      <c r="S49" s="18"/>
      <c r="T49" s="4"/>
      <c r="U49" s="19">
        <v>0</v>
      </c>
      <c r="V49" s="20" t="s">
        <v>5</v>
      </c>
      <c r="W49" s="19">
        <v>1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1</v>
      </c>
      <c r="I50" s="20" t="s">
        <v>5</v>
      </c>
      <c r="J50" s="19">
        <v>1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0</v>
      </c>
      <c r="V50" s="20" t="s">
        <v>5</v>
      </c>
      <c r="W50" s="19">
        <v>2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tr">
        <f>IF([1]Repescagem!D8="","Intercontinental 1",[1]Repescagem!D8)</f>
        <v>RD do Congo</v>
      </c>
      <c r="E51" s="24"/>
      <c r="F51" s="25"/>
      <c r="G51" s="24"/>
      <c r="H51" s="26">
        <v>1</v>
      </c>
      <c r="I51" s="27" t="s">
        <v>5</v>
      </c>
      <c r="J51" s="26">
        <v>1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1</v>
      </c>
      <c r="V51" s="27" t="s">
        <v>5</v>
      </c>
      <c r="W51" s="26">
        <v>0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abSelected="1" topLeftCell="B1" workbookViewId="0">
      <selection activeCell="E7" sqref="E7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33" t="s">
        <v>125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30" t="s">
        <v>126</v>
      </c>
      <c r="C6" s="130"/>
      <c r="D6" s="130"/>
      <c r="E6" s="131" t="s">
        <v>23</v>
      </c>
      <c r="F6" s="131"/>
      <c r="G6" s="131"/>
      <c r="H6" s="32"/>
      <c r="I6" s="32"/>
      <c r="J6" s="130" t="s">
        <v>127</v>
      </c>
      <c r="K6" s="130"/>
      <c r="L6" s="130"/>
      <c r="M6" s="131" t="s">
        <v>23</v>
      </c>
      <c r="N6" s="131"/>
      <c r="O6" s="131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30" t="s">
        <v>128</v>
      </c>
      <c r="G8" s="130"/>
      <c r="H8" s="130"/>
      <c r="I8" s="131" t="s">
        <v>133</v>
      </c>
      <c r="J8" s="131"/>
      <c r="K8" s="131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32" t="s">
        <v>129</v>
      </c>
      <c r="D11" s="132"/>
      <c r="E11" s="132"/>
      <c r="F11" s="32"/>
      <c r="G11" s="32"/>
      <c r="H11" s="32"/>
      <c r="I11" s="32"/>
      <c r="J11" s="32"/>
      <c r="K11" s="32"/>
      <c r="L11" s="132" t="s">
        <v>130</v>
      </c>
      <c r="M11" s="132"/>
      <c r="N11" s="132"/>
      <c r="O11" s="32"/>
      <c r="P11" s="32"/>
    </row>
    <row r="12" spans="1:26" x14ac:dyDescent="0.25">
      <c r="A12" s="32"/>
      <c r="B12" s="32"/>
      <c r="C12" s="135" t="s">
        <v>4</v>
      </c>
      <c r="D12" s="136"/>
      <c r="E12" s="124"/>
      <c r="F12" s="32"/>
      <c r="G12" s="32"/>
      <c r="H12" s="32"/>
      <c r="I12" s="32"/>
      <c r="J12" s="32"/>
      <c r="K12" s="32"/>
      <c r="L12" s="135" t="s">
        <v>6</v>
      </c>
      <c r="M12" s="136"/>
      <c r="N12" s="124"/>
      <c r="O12" s="32"/>
      <c r="P12" s="32"/>
    </row>
    <row r="13" spans="1:26" x14ac:dyDescent="0.25">
      <c r="A13" s="32"/>
      <c r="B13" s="32"/>
      <c r="C13" s="131" t="s">
        <v>13</v>
      </c>
      <c r="D13" s="134"/>
      <c r="E13" s="125"/>
      <c r="F13" s="32"/>
      <c r="G13" s="32"/>
      <c r="H13" s="32"/>
      <c r="I13" s="32"/>
      <c r="J13" s="32"/>
      <c r="K13" s="32"/>
      <c r="L13" s="131" t="s">
        <v>131</v>
      </c>
      <c r="M13" s="134"/>
      <c r="N13" s="125" t="s">
        <v>5</v>
      </c>
      <c r="O13" s="32"/>
      <c r="P13" s="32"/>
    </row>
    <row r="14" spans="1:26" x14ac:dyDescent="0.25">
      <c r="A14" s="32"/>
      <c r="B14" s="32"/>
      <c r="C14" s="131" t="s">
        <v>23</v>
      </c>
      <c r="D14" s="134"/>
      <c r="E14" s="125"/>
      <c r="F14" s="32"/>
      <c r="G14" s="32"/>
      <c r="H14" s="32"/>
      <c r="I14" s="32"/>
      <c r="J14" s="32"/>
      <c r="K14" s="32"/>
      <c r="L14" s="131" t="s">
        <v>29</v>
      </c>
      <c r="M14" s="134"/>
      <c r="N14" s="125"/>
      <c r="O14" s="32"/>
      <c r="P14" s="32"/>
    </row>
    <row r="15" spans="1:26" x14ac:dyDescent="0.25">
      <c r="A15" s="32"/>
      <c r="B15" s="32"/>
      <c r="C15" s="131" t="s">
        <v>26</v>
      </c>
      <c r="D15" s="134"/>
      <c r="E15" s="125" t="s">
        <v>5</v>
      </c>
      <c r="F15" s="32"/>
      <c r="G15" s="32"/>
      <c r="H15" s="32"/>
      <c r="I15" s="32"/>
      <c r="J15" s="32"/>
      <c r="K15" s="32"/>
      <c r="L15" s="131" t="s">
        <v>27</v>
      </c>
      <c r="M15" s="134"/>
      <c r="N15" s="125"/>
      <c r="O15" s="32"/>
      <c r="P15" s="32"/>
    </row>
    <row r="16" spans="1:26" x14ac:dyDescent="0.25">
      <c r="A16" s="32"/>
      <c r="B16" s="32"/>
      <c r="C16" s="131" t="s">
        <v>42</v>
      </c>
      <c r="D16" s="134"/>
      <c r="E16" s="125"/>
      <c r="F16" s="32"/>
      <c r="G16" s="32"/>
      <c r="H16" s="32"/>
      <c r="I16" s="32"/>
      <c r="J16" s="32"/>
      <c r="K16" s="32"/>
      <c r="L16" s="131" t="s">
        <v>43</v>
      </c>
      <c r="M16" s="134"/>
      <c r="N16" s="125"/>
      <c r="O16" s="32"/>
      <c r="P16" s="32"/>
    </row>
    <row r="17" spans="1:16" x14ac:dyDescent="0.25">
      <c r="A17" s="32"/>
      <c r="B17" s="32"/>
      <c r="C17" s="131" t="s">
        <v>45</v>
      </c>
      <c r="D17" s="134"/>
      <c r="E17" s="125"/>
      <c r="F17" s="32"/>
      <c r="G17" s="32"/>
      <c r="H17" s="32"/>
      <c r="I17" s="32"/>
      <c r="J17" s="32"/>
      <c r="K17" s="32"/>
      <c r="L17" s="131" t="s">
        <v>51</v>
      </c>
      <c r="M17" s="134"/>
      <c r="N17" s="125"/>
      <c r="O17" s="32"/>
      <c r="P17" s="32"/>
    </row>
    <row r="18" spans="1:16" x14ac:dyDescent="0.25">
      <c r="A18" s="32"/>
      <c r="B18" s="32"/>
      <c r="C18" s="131" t="s">
        <v>61</v>
      </c>
      <c r="D18" s="134"/>
      <c r="E18" s="125"/>
      <c r="F18" s="32"/>
      <c r="G18" s="32"/>
      <c r="H18" s="32"/>
      <c r="I18" s="32"/>
      <c r="J18" s="32"/>
      <c r="K18" s="32"/>
      <c r="L18" s="131" t="s">
        <v>68</v>
      </c>
      <c r="M18" s="134"/>
      <c r="N18" s="125"/>
      <c r="O18" s="32"/>
      <c r="P18" s="32"/>
    </row>
    <row r="19" spans="1:16" x14ac:dyDescent="0.25">
      <c r="A19" s="32"/>
      <c r="B19" s="32"/>
      <c r="C19" s="131" t="s">
        <v>64</v>
      </c>
      <c r="D19" s="134"/>
      <c r="E19" s="125"/>
      <c r="F19" s="32"/>
      <c r="G19" s="32"/>
      <c r="H19" s="32"/>
      <c r="I19" s="32"/>
      <c r="J19" s="32"/>
      <c r="K19" s="32"/>
      <c r="L19" s="131" t="s">
        <v>65</v>
      </c>
      <c r="M19" s="134"/>
      <c r="N19" s="125"/>
      <c r="O19" s="32"/>
      <c r="P19" s="32"/>
    </row>
    <row r="20" spans="1:16" x14ac:dyDescent="0.25">
      <c r="A20" s="32"/>
      <c r="B20" s="32"/>
      <c r="C20" s="131" t="s">
        <v>81</v>
      </c>
      <c r="D20" s="134"/>
      <c r="E20" s="125"/>
      <c r="F20" s="32"/>
      <c r="G20" s="32"/>
      <c r="H20" s="32"/>
      <c r="I20" s="32"/>
      <c r="J20" s="32"/>
      <c r="K20" s="32"/>
      <c r="L20" s="131" t="s">
        <v>132</v>
      </c>
      <c r="M20" s="134"/>
      <c r="N20" s="125"/>
      <c r="O20" s="32"/>
      <c r="P20" s="32"/>
    </row>
    <row r="21" spans="1:16" x14ac:dyDescent="0.25">
      <c r="A21" s="32"/>
      <c r="B21" s="32"/>
      <c r="C21" s="131" t="s">
        <v>89</v>
      </c>
      <c r="D21" s="134"/>
      <c r="E21" s="125"/>
      <c r="F21" s="32"/>
      <c r="G21" s="32"/>
      <c r="H21" s="32"/>
      <c r="I21" s="32"/>
      <c r="J21" s="32"/>
      <c r="K21" s="32"/>
      <c r="L21" s="131" t="s">
        <v>85</v>
      </c>
      <c r="M21" s="134"/>
      <c r="N21" s="125"/>
      <c r="O21" s="32"/>
      <c r="P21" s="32"/>
    </row>
    <row r="22" spans="1:16" x14ac:dyDescent="0.25">
      <c r="A22" s="32"/>
      <c r="B22" s="32"/>
      <c r="C22" s="131" t="s">
        <v>100</v>
      </c>
      <c r="D22" s="134"/>
      <c r="E22" s="125"/>
      <c r="F22" s="32"/>
      <c r="G22" s="32"/>
      <c r="H22" s="32"/>
      <c r="I22" s="32"/>
      <c r="J22" s="32"/>
      <c r="K22" s="32"/>
      <c r="L22" s="131" t="s">
        <v>105</v>
      </c>
      <c r="M22" s="134"/>
      <c r="N22" s="125"/>
      <c r="O22" s="32"/>
      <c r="P22" s="32"/>
    </row>
    <row r="23" spans="1:16" x14ac:dyDescent="0.25">
      <c r="A23" s="32"/>
      <c r="B23" s="32"/>
      <c r="C23" s="131" t="s">
        <v>102</v>
      </c>
      <c r="D23" s="134"/>
      <c r="E23" s="125"/>
      <c r="F23" s="32"/>
      <c r="G23" s="32"/>
      <c r="H23" s="32"/>
      <c r="I23" s="32"/>
      <c r="J23" s="32"/>
      <c r="K23" s="32"/>
      <c r="L23" s="131" t="s">
        <v>109</v>
      </c>
      <c r="M23" s="134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opLeftCell="J32" workbookViewId="0">
      <selection activeCell="L40" sqref="L40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40" t="s">
        <v>116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37" t="s">
        <v>124</v>
      </c>
      <c r="D5" s="138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7" t="s">
        <v>124</v>
      </c>
      <c r="AJ5" s="138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37" t="s">
        <v>117</v>
      </c>
      <c r="H7" s="138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7" t="s">
        <v>117</v>
      </c>
      <c r="AF7" s="138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7" t="s">
        <v>118</v>
      </c>
      <c r="L11" s="138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7" t="s">
        <v>118</v>
      </c>
      <c r="AB11" s="138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2" t="s">
        <v>119</v>
      </c>
      <c r="R14" s="143"/>
      <c r="S14" s="143"/>
      <c r="T14" s="143"/>
      <c r="U14" s="143"/>
      <c r="V14" s="144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5"/>
      <c r="R15" s="146"/>
      <c r="S15" s="146"/>
      <c r="T15" s="146"/>
      <c r="U15" s="146"/>
      <c r="V15" s="147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5"/>
      <c r="R16" s="146"/>
      <c r="S16" s="146"/>
      <c r="T16" s="146"/>
      <c r="U16" s="146"/>
      <c r="V16" s="147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7" t="s">
        <v>120</v>
      </c>
      <c r="P18" s="138"/>
      <c r="Q18" s="40"/>
      <c r="R18" s="32"/>
      <c r="S18" s="32"/>
      <c r="T18" s="32"/>
      <c r="U18" s="34"/>
      <c r="V18" s="32"/>
      <c r="W18" s="137" t="s">
        <v>120</v>
      </c>
      <c r="X18" s="138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7" t="s">
        <v>121</v>
      </c>
      <c r="T20" s="138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39"/>
      <c r="T25" s="139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7" t="s">
        <v>122</v>
      </c>
      <c r="T26" s="138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7" t="s">
        <v>123</v>
      </c>
      <c r="T31" s="138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41"/>
      <c r="T32" s="141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THIAGO LUIZ CORRÊA</cp:lastModifiedBy>
  <dcterms:created xsi:type="dcterms:W3CDTF">2026-05-19T12:09:26Z</dcterms:created>
  <dcterms:modified xsi:type="dcterms:W3CDTF">2026-06-10T18:04:40Z</dcterms:modified>
</cp:coreProperties>
</file>