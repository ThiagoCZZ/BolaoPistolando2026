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56.png" ContentType="image/png"/>
  <Override PartName="/xl/media/image55.png" ContentType="image/png"/>
  <Override PartName="/xl/media/image54.png" ContentType="image/png"/>
  <Override PartName="/xl/media/image53.png" ContentType="image/png"/>
  <Override PartName="/xl/media/image52.png" ContentType="image/png"/>
  <Override PartName="/xl/media/image51.png" ContentType="image/png"/>
  <Override PartName="/xl/media/image50.png" ContentType="image/png"/>
  <Override PartName="/xl/media/image46.png" ContentType="image/png"/>
  <Override PartName="/xl/media/image45.png" ContentType="image/png"/>
  <Override PartName="/xl/media/image44.png" ContentType="image/png"/>
  <Override PartName="/xl/media/image43.png" ContentType="image/png"/>
  <Override PartName="/xl/media/image42.png" ContentType="image/png"/>
  <Override PartName="/xl/media/image41.png" ContentType="image/png"/>
  <Override PartName="/xl/media/image40.png" ContentType="image/png"/>
  <Override PartName="/xl/media/image32.png" ContentType="image/png"/>
  <Override PartName="/xl/media/image31.png" ContentType="image/png"/>
  <Override PartName="/xl/media/image19.png" ContentType="image/png"/>
  <Override PartName="/xl/media/image61.png" ContentType="image/png"/>
  <Override PartName="/xl/media/image21.png" ContentType="image/png"/>
  <Override PartName="/xl/media/image58.png" ContentType="image/png"/>
  <Override PartName="/xl/media/image22.png" ContentType="image/png"/>
  <Override PartName="/xl/media/image59.png" ContentType="image/png"/>
  <Override PartName="/xl/media/image23.png" ContentType="image/png"/>
  <Override PartName="/xl/media/image60.png" ContentType="image/png"/>
  <Override PartName="/xl/media/image24.png" ContentType="image/png"/>
  <Override PartName="/xl/media/image25.png" ContentType="image/png"/>
  <Override PartName="/xl/media/image62.png" ContentType="image/png"/>
  <Override PartName="/xl/media/image75.png" ContentType="image/png"/>
  <Override PartName="/xl/media/image26.png" ContentType="image/png"/>
  <Override PartName="/xl/media/image63.png" ContentType="image/png"/>
  <Override PartName="/xl/media/image74.png" ContentType="image/png"/>
  <Override PartName="/xl/media/image73.png" ContentType="image/png"/>
  <Override PartName="/xl/media/image72.png" ContentType="image/png"/>
  <Override PartName="/xl/media/image71.png" ContentType="image/png"/>
  <Override PartName="/xl/media/image29.png" ContentType="image/png"/>
  <Override PartName="/xl/media/image69.png" ContentType="image/png"/>
  <Override PartName="/xl/media/image70.png" ContentType="image/png"/>
  <Override PartName="/xl/media/image28.png" ContentType="image/png"/>
  <Override PartName="/xl/media/image68.png" ContentType="image/png"/>
  <Override PartName="/xl/media/image67.png" ContentType="image/png"/>
  <Override PartName="/xl/media/image30.png" ContentType="image/png"/>
  <Override PartName="/xl/media/image66.png" ContentType="image/png"/>
  <Override PartName="/xl/media/image65.png" ContentType="image/png"/>
  <Override PartName="/xl/media/image27.png" ContentType="image/png"/>
  <Override PartName="/xl/media/image64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15.png" ContentType="image/png"/>
  <Override PartName="/xl/media/image6.png" ContentType="image/png"/>
  <Override PartName="/xl/media/image38.png" ContentType="image/png"/>
  <Override PartName="/xl/media/image33.png" ContentType="image/png"/>
  <Override PartName="/xl/media/image1.png" ContentType="image/png"/>
  <Override PartName="/xl/media/image10.png" ContentType="image/png"/>
  <Override PartName="/xl/media/image47.png" ContentType="image/png"/>
  <Override PartName="/xl/media/image16.png" ContentType="image/png"/>
  <Override PartName="/xl/media/image7.png" ContentType="image/png"/>
  <Override PartName="/xl/media/image39.png" ContentType="image/png"/>
  <Override PartName="/xl/media/image34.png" ContentType="image/png"/>
  <Override PartName="/xl/media/image2.png" ContentType="image/png"/>
  <Override PartName="/xl/media/image11.png" ContentType="image/png"/>
  <Override PartName="/xl/media/image48.png" ContentType="image/png"/>
  <Override PartName="/xl/media/image17.png" ContentType="image/png"/>
  <Override PartName="/xl/media/image8.png" ContentType="image/png"/>
  <Override PartName="/xl/media/image35.png" ContentType="image/png"/>
  <Override PartName="/xl/media/image3.png" ContentType="image/png"/>
  <Override PartName="/xl/media/image12.png" ContentType="image/png"/>
  <Override PartName="/xl/media/image49.png" ContentType="image/png"/>
  <Override PartName="/xl/media/image20.png" ContentType="image/png"/>
  <Override PartName="/xl/media/image57.png" ContentType="image/png"/>
  <Override PartName="/xl/media/image18.png" ContentType="image/png"/>
  <Override PartName="/xl/media/image9.png" ContentType="image/png"/>
  <Override PartName="/xl/media/image36.png" ContentType="image/png"/>
  <Override PartName="/xl/media/image4.png" ContentType="image/png"/>
  <Override PartName="/xl/media/image1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UPOS" sheetId="1" state="visible" r:id="rId3"/>
    <sheet name="PONTUAÇÃO EXTRA" sheetId="2" state="visible" r:id="rId4"/>
    <sheet name="MATA MATA (NÃO PREENCHER AINDA)" sheetId="3" state="visible" r:id="rId5"/>
  </sheets>
  <externalReferences>
    <externalReference r:id="rId6"/>
  </externalReferenc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<sst xmlns="http://schemas.openxmlformats.org/spreadsheetml/2006/main" count="331" uniqueCount="135">
  <si>
    <r>
      <rPr>
        <b val="true"/>
        <sz val="26"/>
        <color rgb="FFE75B30"/>
        <rFont val="Calibri"/>
        <family val="2"/>
        <charset val="1"/>
      </rPr>
      <t xml:space="preserve">COPA DO MUNDO 2026</t>
    </r>
    <r>
      <rPr>
        <b val="true"/>
        <sz val="26"/>
        <color rgb="FF184F8E"/>
        <rFont val="Calibri"/>
        <family val="2"/>
        <charset val="1"/>
      </rPr>
      <t xml:space="preserve"> - FASE DE GRUPOS</t>
    </r>
  </si>
  <si>
    <t xml:space="preserve">GRUPO A</t>
  </si>
  <si>
    <t xml:space="preserve">GRUPO B</t>
  </si>
  <si>
    <t xml:space="preserve">11/06/2026 - 16:00</t>
  </si>
  <si>
    <t xml:space="preserve">México</t>
  </si>
  <si>
    <t xml:space="preserve">x</t>
  </si>
  <si>
    <t xml:space="preserve">África do Sul</t>
  </si>
  <si>
    <t xml:space="preserve">12/06/2026 - 16:00</t>
  </si>
  <si>
    <t xml:space="preserve">Canadá</t>
  </si>
  <si>
    <t xml:space="preserve">11/06/2026 - 23:00</t>
  </si>
  <si>
    <t xml:space="preserve">Coréia do Sul</t>
  </si>
  <si>
    <t xml:space="preserve">13/06/2026 - 16:00</t>
  </si>
  <si>
    <t xml:space="preserve">Catar</t>
  </si>
  <si>
    <t xml:space="preserve">Suíça</t>
  </si>
  <si>
    <t xml:space="preserve">18/06/2026 - 13:00</t>
  </si>
  <si>
    <t xml:space="preserve">18/06/2026 - 16:00</t>
  </si>
  <si>
    <t xml:space="preserve">18/06/2026 - 22:00</t>
  </si>
  <si>
    <t xml:space="preserve">18/06/2026 - 19:00</t>
  </si>
  <si>
    <t xml:space="preserve">24/06/2026 - 22:00</t>
  </si>
  <si>
    <t xml:space="preserve">24/06/2026 - 16:00</t>
  </si>
  <si>
    <t xml:space="preserve">GRUPO C</t>
  </si>
  <si>
    <t xml:space="preserve">GRUPO D</t>
  </si>
  <si>
    <t xml:space="preserve">13/06/2026 - 19:00</t>
  </si>
  <si>
    <t xml:space="preserve">Brasil</t>
  </si>
  <si>
    <t xml:space="preserve">Marrocos</t>
  </si>
  <si>
    <t xml:space="preserve">12/06/2026 - 22:00</t>
  </si>
  <si>
    <t xml:space="preserve">Estados Unidos</t>
  </si>
  <si>
    <t xml:space="preserve">Paraguai</t>
  </si>
  <si>
    <t xml:space="preserve">13/06/2026 - 22:00</t>
  </si>
  <si>
    <t xml:space="preserve">Haiti</t>
  </si>
  <si>
    <t xml:space="preserve">Escócia</t>
  </si>
  <si>
    <t xml:space="preserve">14/06/2026 - 01:00</t>
  </si>
  <si>
    <t xml:space="preserve">Austrália</t>
  </si>
  <si>
    <t xml:space="preserve">19/06/2026 - 19:00</t>
  </si>
  <si>
    <t xml:space="preserve">20/06/2026 - 01:00</t>
  </si>
  <si>
    <t xml:space="preserve">19/06/2026 - 22:00</t>
  </si>
  <si>
    <t xml:space="preserve">19/06/2026 - 16:00</t>
  </si>
  <si>
    <t xml:space="preserve">24/06/2026 - 19:00</t>
  </si>
  <si>
    <t xml:space="preserve">25/06/2026 - 23:00</t>
  </si>
  <si>
    <t xml:space="preserve">GRUPO E</t>
  </si>
  <si>
    <t xml:space="preserve">GRUPO F</t>
  </si>
  <si>
    <t xml:space="preserve">14/06/2026 - 14:00</t>
  </si>
  <si>
    <t xml:space="preserve">Alemanha</t>
  </si>
  <si>
    <t xml:space="preserve">Curaçao</t>
  </si>
  <si>
    <t xml:space="preserve">14/06/2026 - 17:00</t>
  </si>
  <si>
    <t xml:space="preserve">Holanda</t>
  </si>
  <si>
    <t xml:space="preserve">Japão</t>
  </si>
  <si>
    <t xml:space="preserve">14/06/2026 - 20:00</t>
  </si>
  <si>
    <t xml:space="preserve">Costa do Marfim</t>
  </si>
  <si>
    <t xml:space="preserve">Equador</t>
  </si>
  <si>
    <t xml:space="preserve">14/06/2026 - 23:00</t>
  </si>
  <si>
    <t xml:space="preserve">Tunísia</t>
  </si>
  <si>
    <t xml:space="preserve">20/06/2026 - 17:00</t>
  </si>
  <si>
    <t xml:space="preserve">21/06/2026 - 01:00</t>
  </si>
  <si>
    <t xml:space="preserve">20/06/2026 - 21:00</t>
  </si>
  <si>
    <t xml:space="preserve">20/06/2026 - 14:00</t>
  </si>
  <si>
    <t xml:space="preserve">25/06/2026 - 17:00</t>
  </si>
  <si>
    <t xml:space="preserve">25/06/2026 - 20:00</t>
  </si>
  <si>
    <t xml:space="preserve">GRUPO G</t>
  </si>
  <si>
    <t xml:space="preserve">GRUPO H</t>
  </si>
  <si>
    <t xml:space="preserve">15/06/2026 - 16:00</t>
  </si>
  <si>
    <t xml:space="preserve">Bélgica</t>
  </si>
  <si>
    <t xml:space="preserve">Egito</t>
  </si>
  <si>
    <t xml:space="preserve">15/06/2026 - 13:00</t>
  </si>
  <si>
    <t xml:space="preserve">Espanha</t>
  </si>
  <si>
    <t xml:space="preserve">Cabo Verde</t>
  </si>
  <si>
    <t xml:space="preserve">15/06/2026 - 22:00</t>
  </si>
  <si>
    <t xml:space="preserve">Irã</t>
  </si>
  <si>
    <t xml:space="preserve">Nova Zelândia</t>
  </si>
  <si>
    <t xml:space="preserve">15/06/2026 - 19:00</t>
  </si>
  <si>
    <t xml:space="preserve">Arábia Saudita</t>
  </si>
  <si>
    <t xml:space="preserve">Uruguai</t>
  </si>
  <si>
    <t xml:space="preserve">21/06/2026 - 16:00</t>
  </si>
  <si>
    <t xml:space="preserve">21/06/2026 - 13:00</t>
  </si>
  <si>
    <t xml:space="preserve">21/06/2026 - 22:00</t>
  </si>
  <si>
    <t xml:space="preserve">21/06/2026 - 19:00</t>
  </si>
  <si>
    <t xml:space="preserve">27/06/2026 - 00:00</t>
  </si>
  <si>
    <t xml:space="preserve">26/06/2026 - 21:00</t>
  </si>
  <si>
    <t xml:space="preserve">GRUPO I</t>
  </si>
  <si>
    <t xml:space="preserve">GRUPO J</t>
  </si>
  <si>
    <t xml:space="preserve">16/06/2026 - 16:00</t>
  </si>
  <si>
    <t xml:space="preserve">França</t>
  </si>
  <si>
    <t xml:space="preserve">Senegal</t>
  </si>
  <si>
    <t xml:space="preserve">17/06/2026 - 01:00</t>
  </si>
  <si>
    <t xml:space="preserve">Áustria</t>
  </si>
  <si>
    <t xml:space="preserve">Jordânia</t>
  </si>
  <si>
    <t xml:space="preserve">16/06/2026 - 19:00</t>
  </si>
  <si>
    <t xml:space="preserve">Noruega</t>
  </si>
  <si>
    <t xml:space="preserve">16/06/2026 - 22:00</t>
  </si>
  <si>
    <t xml:space="preserve">Argentina</t>
  </si>
  <si>
    <t xml:space="preserve">Argélia</t>
  </si>
  <si>
    <t xml:space="preserve">22/06/2026 - 18:00</t>
  </si>
  <si>
    <t xml:space="preserve">22/06/2026 - 14:00</t>
  </si>
  <si>
    <t xml:space="preserve">22/06/2026 - 21:00</t>
  </si>
  <si>
    <t xml:space="preserve">23/06/2026 - 00:00</t>
  </si>
  <si>
    <t xml:space="preserve">26/06/2026 - 16:00</t>
  </si>
  <si>
    <t xml:space="preserve">27/06/2026 - 23:00</t>
  </si>
  <si>
    <t xml:space="preserve">GRUPO K</t>
  </si>
  <si>
    <t xml:space="preserve">GRUPO L</t>
  </si>
  <si>
    <t xml:space="preserve">17/06/2026 - 14:00</t>
  </si>
  <si>
    <t xml:space="preserve">Portugal</t>
  </si>
  <si>
    <t xml:space="preserve">17/06/2026 - 17:00</t>
  </si>
  <si>
    <t xml:space="preserve">Inglaterra</t>
  </si>
  <si>
    <t xml:space="preserve">Croácia</t>
  </si>
  <si>
    <t xml:space="preserve">17/06/2026 - 23:00</t>
  </si>
  <si>
    <t xml:space="preserve">Uzbequistão</t>
  </si>
  <si>
    <t xml:space="preserve">Colômbia</t>
  </si>
  <si>
    <t xml:space="preserve">17/06/2026 - 20:00</t>
  </si>
  <si>
    <t xml:space="preserve">Gana</t>
  </si>
  <si>
    <t xml:space="preserve">Panamá</t>
  </si>
  <si>
    <t xml:space="preserve">23/06/2026 - 14:00</t>
  </si>
  <si>
    <t xml:space="preserve">23/06/2026 - 17:00</t>
  </si>
  <si>
    <t xml:space="preserve">23/06/2026 - 23:00</t>
  </si>
  <si>
    <t xml:space="preserve">23/06/2026 - 20:00</t>
  </si>
  <si>
    <t xml:space="preserve">27/06/2026 - 20:30</t>
  </si>
  <si>
    <t xml:space="preserve">27/06/2026 - 18:00</t>
  </si>
  <si>
    <t xml:space="preserve">PONTUAÇÃO EXTRA</t>
  </si>
  <si>
    <t xml:space="preserve">Melhor ataque (10 pontos):</t>
  </si>
  <si>
    <t xml:space="preserve">Melhor defesa (10 pontos):</t>
  </si>
  <si>
    <t xml:space="preserve">Artilheiro (15 pontos):</t>
  </si>
  <si>
    <t xml:space="preserve">Lamine Yamal</t>
  </si>
  <si>
    <t xml:space="preserve">Favorito Eliminado</t>
  </si>
  <si>
    <t xml:space="preserve">Zebra Classificada</t>
  </si>
  <si>
    <t xml:space="preserve">Bósnia e Herzegovina</t>
  </si>
  <si>
    <t xml:space="preserve">X</t>
  </si>
  <si>
    <t xml:space="preserve">Iraque</t>
  </si>
  <si>
    <r>
      <rPr>
        <b val="true"/>
        <sz val="36"/>
        <color rgb="FFE75B30"/>
        <rFont val="Calibri"/>
        <family val="2"/>
        <charset val="1"/>
      </rPr>
      <t xml:space="preserve">COPA DO MUNDO 2026</t>
    </r>
    <r>
      <rPr>
        <b val="true"/>
        <sz val="36"/>
        <color rgb="FF184F8E"/>
        <rFont val="Calibri"/>
        <family val="2"/>
        <charset val="1"/>
      </rPr>
      <t xml:space="preserve"> - FASE DE MATA-MATA</t>
    </r>
  </si>
  <si>
    <t xml:space="preserve">16 avos de final</t>
  </si>
  <si>
    <t xml:space="preserve">Oitavas de Final</t>
  </si>
  <si>
    <t xml:space="preserve">Quartas de Final</t>
  </si>
  <si>
    <t xml:space="preserve">CAMPEÃO</t>
  </si>
  <si>
    <t xml:space="preserve">Semifinal</t>
  </si>
  <si>
    <t xml:space="preserve">Final</t>
  </si>
  <si>
    <t xml:space="preserve">3º e 4º lugar</t>
  </si>
  <si>
    <t xml:space="preserve">Vencedor 3º Lugar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</si>
</sst>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/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26"/>
      <color rgb="FFE75B30"/>
      <name val="Calibri"/>
      <family val="2"/>
      <charset val="1"/>
    </font>
    <font>
      <b val="true"/>
      <sz val="26"/>
      <color rgb="FF184F8E"/>
      <name val="Calibri"/>
      <family val="2"/>
      <charset val="1"/>
    </font>
    <font>
      <b val="true"/>
      <sz val="12"/>
      <color theme="0"/>
      <name val="Calibri"/>
      <family val="2"/>
      <charset val="1"/>
    </font>
    <font>
      <sz val="12"/>
      <color rgb="FF184F8E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Symbol"/>
      <family val="1"/>
      <charset val="2"/>
    </font>
    <font>
      <sz val="11"/>
      <color theme="0"/>
      <name val="Calibri"/>
      <family val="2"/>
      <charset val="1"/>
    </font>
    <font>
      <b val="true"/>
      <sz val="36"/>
      <color rgb="FFE75B30"/>
      <name val="Calibri"/>
      <family val="2"/>
      <charset val="1"/>
    </font>
    <font>
      <b val="true"/>
      <sz val="36"/>
      <color rgb="FF184F8E"/>
      <name val="Calibri"/>
      <family val="2"/>
      <charset val="1"/>
    </font>
    <font>
      <b val="true"/>
      <sz val="36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184F8E"/>
      <name val="Calibri"/>
      <family val="2"/>
      <charset val="1"/>
    </font>
    <font>
      <sz val="11"/>
      <color rgb="FF184F8E"/>
      <name val="Calibri"/>
      <family val="2"/>
      <charset val="1"/>
    </font>
    <font>
      <b val="true"/>
      <sz val="12"/>
      <color rgb="FF184F8E"/>
      <name val="Calibri"/>
      <family val="2"/>
      <charset val="1"/>
    </font>
    <font>
      <b val="true"/>
      <sz val="9"/>
      <color theme="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84F8E"/>
        <bgColor rgb="FF144376"/>
      </patternFill>
    </fill>
    <fill>
      <patternFill patternType="solid">
        <fgColor theme="0" tint="-0.05"/>
        <bgColor rgb="FFFFFFFF"/>
      </patternFill>
    </fill>
    <fill>
      <patternFill patternType="solid">
        <fgColor rgb="FFE75B30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rgb="FF144376"/>
        <bgColor rgb="FF184F8E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  <border diagonalUp="false" diagonalDown="false"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 diagonalUp="false" diagonalDown="false">
      <left/>
      <right/>
      <top style="thick">
        <color theme="0"/>
      </top>
      <bottom/>
      <diagonal/>
    </border>
    <border diagonalUp="false" diagonalDown="false">
      <left style="thin">
        <color theme="0" tint="-0.05"/>
      </left>
      <right style="thin">
        <color theme="0" tint="-0.05"/>
      </right>
      <top style="thick">
        <color theme="0"/>
      </top>
      <bottom style="thin">
        <color theme="0" tint="-0.05"/>
      </bottom>
      <diagonal/>
    </border>
    <border diagonalUp="false" diagonalDown="false"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 diagonalUp="false" diagonalDown="false"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 diagonalUp="false" diagonalDown="false"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 diagonalUp="false" diagonalDown="false"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 diagonalUp="false" diagonalDown="false"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 diagonalUp="false" diagonalDown="false"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 diagonalUp="false" diagonalDown="false">
      <left/>
      <right/>
      <top/>
      <bottom style="medium">
        <color theme="0"/>
      </bottom>
      <diagonal/>
    </border>
    <border diagonalUp="false" diagonalDown="false">
      <left style="thin">
        <color theme="0" tint="-0.05"/>
      </left>
      <right style="thin">
        <color theme="0" tint="-0.05"/>
      </right>
      <top style="thin">
        <color theme="0" tint="-0.05"/>
      </top>
      <bottom style="medium">
        <color theme="0"/>
      </bottom>
      <diagonal/>
    </border>
    <border diagonalUp="false" diagonalDown="false"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 diagonalUp="false" diagonalDown="false"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 diagonalUp="false" diagonalDown="false">
      <left style="medium">
        <color theme="0"/>
      </left>
      <right style="medium">
        <color theme="0"/>
      </right>
      <top/>
      <bottom style="medium">
        <color theme="0"/>
      </bottom>
      <diagonal/>
    </border>
    <border diagonalUp="false" diagonalDown="false">
      <left style="medium">
        <color theme="0"/>
      </left>
      <right/>
      <top style="medium">
        <color theme="0"/>
      </top>
      <bottom style="medium">
        <color rgb="FF184F8E"/>
      </bottom>
      <diagonal/>
    </border>
    <border diagonalUp="false" diagonalDown="false"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 diagonalUp="false" diagonalDown="false">
      <left style="medium">
        <color theme="0"/>
      </left>
      <right/>
      <top/>
      <bottom style="medium">
        <color theme="0"/>
      </bottom>
      <diagonal/>
    </border>
    <border diagonalUp="false" diagonalDown="false">
      <left style="medium">
        <color rgb="FF184F8E"/>
      </left>
      <right style="medium">
        <color theme="0"/>
      </right>
      <top/>
      <bottom style="medium">
        <color theme="0"/>
      </bottom>
      <diagonal/>
    </border>
    <border diagonalUp="false" diagonalDown="false">
      <left/>
      <right style="mediumDashed">
        <color theme="0"/>
      </right>
      <top style="mediumDashed">
        <color theme="0"/>
      </top>
      <bottom/>
      <diagonal/>
    </border>
    <border diagonalUp="false" diagonalDown="false">
      <left/>
      <right style="thin">
        <color theme="0" tint="-0.35"/>
      </right>
      <top/>
      <bottom/>
      <diagonal/>
    </border>
    <border diagonalUp="false" diagonalDown="false">
      <left style="mediumDashed">
        <color theme="0"/>
      </left>
      <right/>
      <top style="mediumDashed">
        <color theme="0"/>
      </top>
      <bottom/>
      <diagonal/>
    </border>
    <border diagonalUp="false" diagonalDown="false">
      <left/>
      <right style="mediumDashed">
        <color theme="0"/>
      </right>
      <top/>
      <bottom/>
      <diagonal/>
    </border>
    <border diagonalUp="false" diagonalDown="false"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 diagonalUp="false" diagonalDown="false">
      <left style="medium">
        <color theme="0"/>
      </left>
      <right style="mediumDashed">
        <color theme="0"/>
      </right>
      <top/>
      <bottom style="medium">
        <color theme="0"/>
      </bottom>
      <diagonal/>
    </border>
    <border diagonalUp="false" diagonalDown="false">
      <left style="mediumDashed">
        <color theme="0"/>
      </left>
      <right/>
      <top/>
      <bottom/>
      <diagonal/>
    </border>
    <border diagonalUp="false" diagonalDown="false">
      <left style="medium">
        <color theme="0"/>
      </left>
      <right style="mediumDashed">
        <color theme="0"/>
      </right>
      <top/>
      <bottom/>
      <diagonal/>
    </border>
    <border diagonalUp="false" diagonalDown="false">
      <left/>
      <right/>
      <top style="medium">
        <color theme="0"/>
      </top>
      <bottom/>
      <diagonal/>
    </border>
    <border diagonalUp="false" diagonalDown="false">
      <left style="mediumDashed">
        <color theme="0"/>
      </left>
      <right/>
      <top/>
      <bottom style="mediumDashed">
        <color theme="0"/>
      </bottom>
      <diagonal/>
    </border>
    <border diagonalUp="false" diagonalDown="false">
      <left/>
      <right/>
      <top style="mediumDashed">
        <color theme="0"/>
      </top>
      <bottom/>
      <diagonal/>
    </border>
    <border diagonalUp="false" diagonalDown="false"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 diagonalUp="false" diagonalDown="false">
      <left/>
      <right style="mediumDashed">
        <color theme="0"/>
      </right>
      <top/>
      <bottom style="mediumDashed">
        <color theme="0"/>
      </bottom>
      <diagonal/>
    </border>
    <border diagonalUp="false" diagonalDown="false">
      <left style="mediumDashed">
        <color theme="0"/>
      </left>
      <right style="mediumDashed">
        <color theme="0"/>
      </right>
      <top/>
      <bottom/>
      <diagonal/>
    </border>
    <border diagonalUp="false" diagonalDown="false">
      <left/>
      <right/>
      <top/>
      <bottom style="mediumDashed">
        <color theme="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6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6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6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5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5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5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5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justify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8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2" borderId="2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4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16" fillId="3" borderId="27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1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6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16" fillId="3" borderId="2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11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1" fillId="2" borderId="31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0" fillId="2" borderId="3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1" fillId="2" borderId="34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0" fillId="2" borderId="3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3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" fillId="2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4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3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1" fillId="2" borderId="36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4" fontId="17" fillId="2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4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3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4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4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9" fillId="4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2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4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4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4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75B30"/>
      <rgbColor rgb="FF666699"/>
      <rgbColor rgb="FFA6A6A6"/>
      <rgbColor rgb="FF144376"/>
      <rgbColor rgb="FF339966"/>
      <rgbColor rgb="FF003300"/>
      <rgbColor rgb="FF333300"/>
      <rgbColor rgb="FF993300"/>
      <rgbColor rgb="FF993366"/>
      <rgbColor rgb="FF184F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externalLink" Target="externalLinks/externalLink1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1.png"/><Relationship Id="rId9" Type="http://schemas.openxmlformats.org/officeDocument/2006/relationships/image" Target="../media/image4.png"/><Relationship Id="rId10" Type="http://schemas.openxmlformats.org/officeDocument/2006/relationships/image" Target="../media/image4.png"/><Relationship Id="rId11" Type="http://schemas.openxmlformats.org/officeDocument/2006/relationships/image" Target="../media/image6.png"/><Relationship Id="rId12" Type="http://schemas.openxmlformats.org/officeDocument/2006/relationships/image" Target="../media/image2.png"/><Relationship Id="rId13" Type="http://schemas.openxmlformats.org/officeDocument/2006/relationships/image" Target="../media/image7.png"/><Relationship Id="rId14" Type="http://schemas.openxmlformats.org/officeDocument/2006/relationships/image" Target="../media/image8.png"/><Relationship Id="rId15" Type="http://schemas.openxmlformats.org/officeDocument/2006/relationships/image" Target="../media/image9.png"/><Relationship Id="rId16" Type="http://schemas.openxmlformats.org/officeDocument/2006/relationships/image" Target="../media/image7.png"/><Relationship Id="rId17" Type="http://schemas.openxmlformats.org/officeDocument/2006/relationships/image" Target="../media/image10.png"/><Relationship Id="rId18" Type="http://schemas.openxmlformats.org/officeDocument/2006/relationships/image" Target="../media/image10.png"/><Relationship Id="rId19" Type="http://schemas.openxmlformats.org/officeDocument/2006/relationships/image" Target="../media/image7.png"/><Relationship Id="rId20" Type="http://schemas.openxmlformats.org/officeDocument/2006/relationships/image" Target="../media/image11.png"/><Relationship Id="rId21" Type="http://schemas.openxmlformats.org/officeDocument/2006/relationships/image" Target="../media/image8.png"/><Relationship Id="rId22" Type="http://schemas.openxmlformats.org/officeDocument/2006/relationships/image" Target="../media/image12.png"/><Relationship Id="rId23" Type="http://schemas.openxmlformats.org/officeDocument/2006/relationships/image" Target="../media/image13.png"/><Relationship Id="rId24" Type="http://schemas.openxmlformats.org/officeDocument/2006/relationships/image" Target="../media/image14.png"/><Relationship Id="rId25" Type="http://schemas.openxmlformats.org/officeDocument/2006/relationships/image" Target="../media/image15.png"/><Relationship Id="rId26" Type="http://schemas.openxmlformats.org/officeDocument/2006/relationships/image" Target="../media/image15.png"/><Relationship Id="rId27" Type="http://schemas.openxmlformats.org/officeDocument/2006/relationships/image" Target="../media/image12.png"/><Relationship Id="rId28" Type="http://schemas.openxmlformats.org/officeDocument/2006/relationships/image" Target="../media/image12.png"/><Relationship Id="rId29" Type="http://schemas.openxmlformats.org/officeDocument/2006/relationships/image" Target="../media/image13.png"/><Relationship Id="rId30" Type="http://schemas.openxmlformats.org/officeDocument/2006/relationships/image" Target="../media/image13.png"/><Relationship Id="rId31" Type="http://schemas.openxmlformats.org/officeDocument/2006/relationships/image" Target="../media/image16.png"/><Relationship Id="rId32" Type="http://schemas.openxmlformats.org/officeDocument/2006/relationships/image" Target="../media/image17.png"/><Relationship Id="rId33" Type="http://schemas.openxmlformats.org/officeDocument/2006/relationships/image" Target="../media/image18.png"/><Relationship Id="rId34" Type="http://schemas.openxmlformats.org/officeDocument/2006/relationships/image" Target="../media/image16.png"/><Relationship Id="rId35" Type="http://schemas.openxmlformats.org/officeDocument/2006/relationships/image" Target="../media/image16.png"/><Relationship Id="rId36" Type="http://schemas.openxmlformats.org/officeDocument/2006/relationships/image" Target="../media/image19.png"/><Relationship Id="rId37" Type="http://schemas.openxmlformats.org/officeDocument/2006/relationships/image" Target="../media/image17.png"/><Relationship Id="rId38" Type="http://schemas.openxmlformats.org/officeDocument/2006/relationships/image" Target="../media/image18.png"/><Relationship Id="rId39" Type="http://schemas.openxmlformats.org/officeDocument/2006/relationships/image" Target="../media/image20.png"/><Relationship Id="rId40" Type="http://schemas.openxmlformats.org/officeDocument/2006/relationships/image" Target="../media/image21.png"/><Relationship Id="rId41" Type="http://schemas.openxmlformats.org/officeDocument/2006/relationships/image" Target="../media/image22.png"/><Relationship Id="rId42" Type="http://schemas.openxmlformats.org/officeDocument/2006/relationships/image" Target="../media/image23.png"/><Relationship Id="rId43" Type="http://schemas.openxmlformats.org/officeDocument/2006/relationships/image" Target="../media/image24.png"/><Relationship Id="rId44" Type="http://schemas.openxmlformats.org/officeDocument/2006/relationships/image" Target="../media/image25.png"/><Relationship Id="rId45" Type="http://schemas.openxmlformats.org/officeDocument/2006/relationships/image" Target="../media/image22.png"/><Relationship Id="rId46" Type="http://schemas.openxmlformats.org/officeDocument/2006/relationships/image" Target="../media/image23.png"/><Relationship Id="rId47" Type="http://schemas.openxmlformats.org/officeDocument/2006/relationships/image" Target="../media/image23.png"/><Relationship Id="rId48" Type="http://schemas.openxmlformats.org/officeDocument/2006/relationships/image" Target="../media/image21.png"/><Relationship Id="rId49" Type="http://schemas.openxmlformats.org/officeDocument/2006/relationships/image" Target="../media/image21.png"/><Relationship Id="rId50" Type="http://schemas.openxmlformats.org/officeDocument/2006/relationships/image" Target="../media/image24.png"/><Relationship Id="rId51" Type="http://schemas.openxmlformats.org/officeDocument/2006/relationships/image" Target="../media/image24.png"/><Relationship Id="rId52" Type="http://schemas.openxmlformats.org/officeDocument/2006/relationships/image" Target="../media/image26.png"/><Relationship Id="rId53" Type="http://schemas.openxmlformats.org/officeDocument/2006/relationships/image" Target="../media/image27.png"/><Relationship Id="rId54" Type="http://schemas.openxmlformats.org/officeDocument/2006/relationships/image" Target="../media/image28.png"/><Relationship Id="rId55" Type="http://schemas.openxmlformats.org/officeDocument/2006/relationships/image" Target="../media/image28.png"/><Relationship Id="rId56" Type="http://schemas.openxmlformats.org/officeDocument/2006/relationships/image" Target="../media/image28.png"/><Relationship Id="rId57" Type="http://schemas.openxmlformats.org/officeDocument/2006/relationships/image" Target="../media/image26.png"/><Relationship Id="rId58" Type="http://schemas.openxmlformats.org/officeDocument/2006/relationships/image" Target="../media/image26.png"/><Relationship Id="rId59" Type="http://schemas.openxmlformats.org/officeDocument/2006/relationships/image" Target="../media/image27.png"/><Relationship Id="rId60" Type="http://schemas.openxmlformats.org/officeDocument/2006/relationships/image" Target="../media/image29.png"/><Relationship Id="rId61" Type="http://schemas.openxmlformats.org/officeDocument/2006/relationships/image" Target="../media/image30.png"/><Relationship Id="rId62" Type="http://schemas.openxmlformats.org/officeDocument/2006/relationships/image" Target="../media/image31.png"/><Relationship Id="rId63" Type="http://schemas.openxmlformats.org/officeDocument/2006/relationships/image" Target="../media/image32.png"/><Relationship Id="rId64" Type="http://schemas.openxmlformats.org/officeDocument/2006/relationships/image" Target="../media/image33.png"/><Relationship Id="rId65" Type="http://schemas.openxmlformats.org/officeDocument/2006/relationships/image" Target="../media/image34.png"/><Relationship Id="rId66" Type="http://schemas.openxmlformats.org/officeDocument/2006/relationships/image" Target="../media/image30.png"/><Relationship Id="rId67" Type="http://schemas.openxmlformats.org/officeDocument/2006/relationships/image" Target="../media/image31.png"/><Relationship Id="rId68" Type="http://schemas.openxmlformats.org/officeDocument/2006/relationships/image" Target="../media/image31.png"/><Relationship Id="rId69" Type="http://schemas.openxmlformats.org/officeDocument/2006/relationships/image" Target="../media/image32.png"/><Relationship Id="rId70" Type="http://schemas.openxmlformats.org/officeDocument/2006/relationships/image" Target="../media/image32.png"/><Relationship Id="rId71" Type="http://schemas.openxmlformats.org/officeDocument/2006/relationships/image" Target="../media/image33.png"/><Relationship Id="rId72" Type="http://schemas.openxmlformats.org/officeDocument/2006/relationships/image" Target="../media/image33.png"/><Relationship Id="rId73" Type="http://schemas.openxmlformats.org/officeDocument/2006/relationships/image" Target="../media/image35.png"/><Relationship Id="rId74" Type="http://schemas.openxmlformats.org/officeDocument/2006/relationships/image" Target="../media/image36.png"/><Relationship Id="rId75" Type="http://schemas.openxmlformats.org/officeDocument/2006/relationships/image" Target="../media/image37.png"/><Relationship Id="rId76" Type="http://schemas.openxmlformats.org/officeDocument/2006/relationships/image" Target="../media/image38.png"/><Relationship Id="rId77" Type="http://schemas.openxmlformats.org/officeDocument/2006/relationships/image" Target="../media/image39.png"/><Relationship Id="rId78" Type="http://schemas.openxmlformats.org/officeDocument/2006/relationships/image" Target="../media/image39.png"/><Relationship Id="rId79" Type="http://schemas.openxmlformats.org/officeDocument/2006/relationships/image" Target="../media/image40.png"/><Relationship Id="rId80" Type="http://schemas.openxmlformats.org/officeDocument/2006/relationships/image" Target="../media/image40.png"/><Relationship Id="rId81" Type="http://schemas.openxmlformats.org/officeDocument/2006/relationships/image" Target="../media/image41.png"/><Relationship Id="rId82" Type="http://schemas.openxmlformats.org/officeDocument/2006/relationships/image" Target="../media/image42.png"/><Relationship Id="rId83" Type="http://schemas.openxmlformats.org/officeDocument/2006/relationships/image" Target="../media/image35.png"/><Relationship Id="rId84" Type="http://schemas.openxmlformats.org/officeDocument/2006/relationships/image" Target="../media/image43.png"/><Relationship Id="rId85" Type="http://schemas.openxmlformats.org/officeDocument/2006/relationships/image" Target="../media/image44.png"/><Relationship Id="rId86" Type="http://schemas.openxmlformats.org/officeDocument/2006/relationships/image" Target="../media/image45.png"/><Relationship Id="rId87" Type="http://schemas.openxmlformats.org/officeDocument/2006/relationships/image" Target="../media/image46.png"/><Relationship Id="rId88" Type="http://schemas.openxmlformats.org/officeDocument/2006/relationships/image" Target="../media/image45.png"/><Relationship Id="rId89" Type="http://schemas.openxmlformats.org/officeDocument/2006/relationships/image" Target="../media/image45.png"/><Relationship Id="rId90" Type="http://schemas.openxmlformats.org/officeDocument/2006/relationships/image" Target="../media/image46.png"/><Relationship Id="rId91" Type="http://schemas.openxmlformats.org/officeDocument/2006/relationships/image" Target="../media/image47.png"/><Relationship Id="rId92" Type="http://schemas.openxmlformats.org/officeDocument/2006/relationships/image" Target="../media/image44.png"/><Relationship Id="rId93" Type="http://schemas.openxmlformats.org/officeDocument/2006/relationships/image" Target="../media/image44.png"/><Relationship Id="rId94" Type="http://schemas.openxmlformats.org/officeDocument/2006/relationships/image" Target="../media/image48.png"/><Relationship Id="rId95" Type="http://schemas.openxmlformats.org/officeDocument/2006/relationships/image" Target="../media/image49.png"/><Relationship Id="rId96" Type="http://schemas.openxmlformats.org/officeDocument/2006/relationships/image" Target="../media/image50.png"/><Relationship Id="rId97" Type="http://schemas.openxmlformats.org/officeDocument/2006/relationships/image" Target="../media/image49.png"/><Relationship Id="rId98" Type="http://schemas.openxmlformats.org/officeDocument/2006/relationships/image" Target="../media/image49.png"/><Relationship Id="rId99" Type="http://schemas.openxmlformats.org/officeDocument/2006/relationships/image" Target="../media/image51.png"/><Relationship Id="rId100" Type="http://schemas.openxmlformats.org/officeDocument/2006/relationships/image" Target="../media/image52.png"/><Relationship Id="rId101" Type="http://schemas.openxmlformats.org/officeDocument/2006/relationships/image" Target="../media/image53.png"/><Relationship Id="rId102" Type="http://schemas.openxmlformats.org/officeDocument/2006/relationships/image" Target="../media/image53.png"/><Relationship Id="rId103" Type="http://schemas.openxmlformats.org/officeDocument/2006/relationships/image" Target="../media/image54.png"/><Relationship Id="rId104" Type="http://schemas.openxmlformats.org/officeDocument/2006/relationships/image" Target="../media/image54.png"/><Relationship Id="rId105" Type="http://schemas.openxmlformats.org/officeDocument/2006/relationships/image" Target="../media/image55.png"/><Relationship Id="rId106" Type="http://schemas.openxmlformats.org/officeDocument/2006/relationships/image" Target="../media/image56.png"/><Relationship Id="rId107" Type="http://schemas.openxmlformats.org/officeDocument/2006/relationships/image" Target="../media/image57.png"/><Relationship Id="rId108" Type="http://schemas.openxmlformats.org/officeDocument/2006/relationships/image" Target="../media/image58.png"/><Relationship Id="rId109" Type="http://schemas.openxmlformats.org/officeDocument/2006/relationships/image" Target="../media/image59.png"/><Relationship Id="rId110" Type="http://schemas.openxmlformats.org/officeDocument/2006/relationships/image" Target="../media/image60.png"/><Relationship Id="rId111" Type="http://schemas.openxmlformats.org/officeDocument/2006/relationships/image" Target="../media/image60.png"/><Relationship Id="rId112" Type="http://schemas.openxmlformats.org/officeDocument/2006/relationships/image" Target="../media/image61.png"/><Relationship Id="rId113" Type="http://schemas.openxmlformats.org/officeDocument/2006/relationships/image" Target="../media/image61.png"/><Relationship Id="rId114" Type="http://schemas.openxmlformats.org/officeDocument/2006/relationships/image" Target="../media/image62.png"/><Relationship Id="rId115" Type="http://schemas.openxmlformats.org/officeDocument/2006/relationships/image" Target="../media/image63.png"/><Relationship Id="rId116" Type="http://schemas.openxmlformats.org/officeDocument/2006/relationships/image" Target="../media/image64.png"/><Relationship Id="rId117" Type="http://schemas.openxmlformats.org/officeDocument/2006/relationships/image" Target="../media/image65.png"/><Relationship Id="rId118" Type="http://schemas.openxmlformats.org/officeDocument/2006/relationships/image" Target="../media/image62.png"/><Relationship Id="rId119" Type="http://schemas.openxmlformats.org/officeDocument/2006/relationships/image" Target="../media/image62.png"/><Relationship Id="rId120" Type="http://schemas.openxmlformats.org/officeDocument/2006/relationships/image" Target="../media/image65.png"/><Relationship Id="rId121" Type="http://schemas.openxmlformats.org/officeDocument/2006/relationships/image" Target="../media/image66.png"/><Relationship Id="rId122" Type="http://schemas.openxmlformats.org/officeDocument/2006/relationships/image" Target="../media/image64.png"/><Relationship Id="rId123" Type="http://schemas.openxmlformats.org/officeDocument/2006/relationships/image" Target="../media/image64.png"/><Relationship Id="rId124" Type="http://schemas.openxmlformats.org/officeDocument/2006/relationships/image" Target="../media/image67.png"/><Relationship Id="rId125" Type="http://schemas.openxmlformats.org/officeDocument/2006/relationships/image" Target="../media/image67.png"/><Relationship Id="rId126" Type="http://schemas.openxmlformats.org/officeDocument/2006/relationships/image" Target="../media/image68.png"/><Relationship Id="rId127" Type="http://schemas.openxmlformats.org/officeDocument/2006/relationships/image" Target="../media/image69.png"/><Relationship Id="rId128" Type="http://schemas.openxmlformats.org/officeDocument/2006/relationships/image" Target="../media/image69.png"/><Relationship Id="rId129" Type="http://schemas.openxmlformats.org/officeDocument/2006/relationships/image" Target="../media/image69.png"/><Relationship Id="rId130" Type="http://schemas.openxmlformats.org/officeDocument/2006/relationships/image" Target="../media/image70.png"/><Relationship Id="rId131" Type="http://schemas.openxmlformats.org/officeDocument/2006/relationships/image" Target="../media/image70.png"/><Relationship Id="rId132" Type="http://schemas.openxmlformats.org/officeDocument/2006/relationships/image" Target="../media/image70.png"/><Relationship Id="rId133" Type="http://schemas.openxmlformats.org/officeDocument/2006/relationships/image" Target="../media/image71.png"/><Relationship Id="rId134" Type="http://schemas.openxmlformats.org/officeDocument/2006/relationships/image" Target="../media/image71.png"/><Relationship Id="rId135" Type="http://schemas.openxmlformats.org/officeDocument/2006/relationships/image" Target="../media/image71.png"/><Relationship Id="rId136" Type="http://schemas.openxmlformats.org/officeDocument/2006/relationships/image" Target="../media/image72.png"/><Relationship Id="rId137" Type="http://schemas.openxmlformats.org/officeDocument/2006/relationships/image" Target="../media/image72.png"/><Relationship Id="rId138" Type="http://schemas.openxmlformats.org/officeDocument/2006/relationships/image" Target="../media/image72.png"/><Relationship Id="rId139" Type="http://schemas.openxmlformats.org/officeDocument/2006/relationships/image" Target="../media/image73.png"/><Relationship Id="rId140" Type="http://schemas.openxmlformats.org/officeDocument/2006/relationships/image" Target="../media/image73.png"/><Relationship Id="rId141" Type="http://schemas.openxmlformats.org/officeDocument/2006/relationships/image" Target="../media/image73.png"/><Relationship Id="rId142" Type="http://schemas.openxmlformats.org/officeDocument/2006/relationships/image" Target="../media/image74.png"/><Relationship Id="rId143" Type="http://schemas.openxmlformats.org/officeDocument/2006/relationships/image" Target="../media/image74.png"/><Relationship Id="rId144" Type="http://schemas.openxmlformats.org/officeDocument/2006/relationships/image" Target="../media/image7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7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14760</xdr:colOff>
      <xdr:row>13</xdr:row>
      <xdr:rowOff>155160</xdr:rowOff>
    </xdr:from>
    <xdr:to>
      <xdr:col>11</xdr:col>
      <xdr:colOff>270360</xdr:colOff>
      <xdr:row>14</xdr:row>
      <xdr:rowOff>121680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5545440" y="2905200"/>
          <a:ext cx="25560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13680</xdr:colOff>
      <xdr:row>14</xdr:row>
      <xdr:rowOff>178200</xdr:rowOff>
    </xdr:from>
    <xdr:to>
      <xdr:col>5</xdr:col>
      <xdr:colOff>269280</xdr:colOff>
      <xdr:row>15</xdr:row>
      <xdr:rowOff>145080</xdr:rowOff>
    </xdr:to>
    <xdr:pic>
      <xdr:nvPicPr>
        <xdr:cNvPr id="1" name="Imagem 2" descr=""/>
        <xdr:cNvPicPr/>
      </xdr:nvPicPr>
      <xdr:blipFill>
        <a:blip r:embed="rId2"/>
        <a:stretch/>
      </xdr:blipFill>
      <xdr:spPr>
        <a:xfrm>
          <a:off x="3729240" y="3119040"/>
          <a:ext cx="25560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13680</xdr:colOff>
      <xdr:row>13</xdr:row>
      <xdr:rowOff>158400</xdr:rowOff>
    </xdr:from>
    <xdr:to>
      <xdr:col>5</xdr:col>
      <xdr:colOff>268560</xdr:colOff>
      <xdr:row>14</xdr:row>
      <xdr:rowOff>124920</xdr:rowOff>
    </xdr:to>
    <xdr:pic>
      <xdr:nvPicPr>
        <xdr:cNvPr id="2" name="Imagem 3" descr=""/>
        <xdr:cNvPicPr/>
      </xdr:nvPicPr>
      <xdr:blipFill>
        <a:blip r:embed="rId3"/>
        <a:stretch/>
      </xdr:blipFill>
      <xdr:spPr>
        <a:xfrm>
          <a:off x="3729240" y="2908440"/>
          <a:ext cx="2548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15120</xdr:colOff>
      <xdr:row>14</xdr:row>
      <xdr:rowOff>171720</xdr:rowOff>
    </xdr:from>
    <xdr:to>
      <xdr:col>11</xdr:col>
      <xdr:colOff>269640</xdr:colOff>
      <xdr:row>15</xdr:row>
      <xdr:rowOff>137520</xdr:rowOff>
    </xdr:to>
    <xdr:pic>
      <xdr:nvPicPr>
        <xdr:cNvPr id="3" name="Imagem 4" descr=""/>
        <xdr:cNvPicPr/>
      </xdr:nvPicPr>
      <xdr:blipFill>
        <a:blip r:embed="rId4"/>
        <a:stretch/>
      </xdr:blipFill>
      <xdr:spPr>
        <a:xfrm>
          <a:off x="5545800" y="3112560"/>
          <a:ext cx="254520" cy="156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21240</xdr:colOff>
      <xdr:row>17</xdr:row>
      <xdr:rowOff>5760</xdr:rowOff>
    </xdr:from>
    <xdr:to>
      <xdr:col>5</xdr:col>
      <xdr:colOff>276120</xdr:colOff>
      <xdr:row>17</xdr:row>
      <xdr:rowOff>163080</xdr:rowOff>
    </xdr:to>
    <xdr:pic>
      <xdr:nvPicPr>
        <xdr:cNvPr id="4" name="Imagem 5" descr=""/>
        <xdr:cNvPicPr/>
      </xdr:nvPicPr>
      <xdr:blipFill>
        <a:blip r:embed="rId5"/>
        <a:stretch/>
      </xdr:blipFill>
      <xdr:spPr>
        <a:xfrm>
          <a:off x="3736800" y="3517920"/>
          <a:ext cx="2548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14400</xdr:colOff>
      <xdr:row>18</xdr:row>
      <xdr:rowOff>15120</xdr:rowOff>
    </xdr:from>
    <xdr:to>
      <xdr:col>11</xdr:col>
      <xdr:colOff>270360</xdr:colOff>
      <xdr:row>18</xdr:row>
      <xdr:rowOff>172440</xdr:rowOff>
    </xdr:to>
    <xdr:pic>
      <xdr:nvPicPr>
        <xdr:cNvPr id="5" name="Imagem 6" descr=""/>
        <xdr:cNvPicPr/>
      </xdr:nvPicPr>
      <xdr:blipFill>
        <a:blip r:embed="rId6"/>
        <a:stretch/>
      </xdr:blipFill>
      <xdr:spPr>
        <a:xfrm>
          <a:off x="5545080" y="3717720"/>
          <a:ext cx="25596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15120</xdr:colOff>
      <xdr:row>15</xdr:row>
      <xdr:rowOff>188280</xdr:rowOff>
    </xdr:from>
    <xdr:to>
      <xdr:col>11</xdr:col>
      <xdr:colOff>269640</xdr:colOff>
      <xdr:row>16</xdr:row>
      <xdr:rowOff>153360</xdr:rowOff>
    </xdr:to>
    <xdr:pic>
      <xdr:nvPicPr>
        <xdr:cNvPr id="6" name="Imagem 7" descr=""/>
        <xdr:cNvPicPr/>
      </xdr:nvPicPr>
      <xdr:blipFill>
        <a:blip r:embed="rId7"/>
        <a:stretch/>
      </xdr:blipFill>
      <xdr:spPr>
        <a:xfrm>
          <a:off x="5545800" y="3319560"/>
          <a:ext cx="254520" cy="15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15480</xdr:colOff>
      <xdr:row>19</xdr:row>
      <xdr:rowOff>19080</xdr:rowOff>
    </xdr:from>
    <xdr:to>
      <xdr:col>5</xdr:col>
      <xdr:colOff>271080</xdr:colOff>
      <xdr:row>19</xdr:row>
      <xdr:rowOff>176400</xdr:rowOff>
    </xdr:to>
    <xdr:pic>
      <xdr:nvPicPr>
        <xdr:cNvPr id="7" name="Imagem 8" descr=""/>
        <xdr:cNvPicPr/>
      </xdr:nvPicPr>
      <xdr:blipFill>
        <a:blip r:embed="rId8"/>
        <a:stretch/>
      </xdr:blipFill>
      <xdr:spPr>
        <a:xfrm>
          <a:off x="3731040" y="3912120"/>
          <a:ext cx="25560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16200</xdr:colOff>
      <xdr:row>18</xdr:row>
      <xdr:rowOff>16560</xdr:rowOff>
    </xdr:from>
    <xdr:to>
      <xdr:col>5</xdr:col>
      <xdr:colOff>270720</xdr:colOff>
      <xdr:row>18</xdr:row>
      <xdr:rowOff>172800</xdr:rowOff>
    </xdr:to>
    <xdr:pic>
      <xdr:nvPicPr>
        <xdr:cNvPr id="8" name="Imagem 9" descr=""/>
        <xdr:cNvPicPr/>
      </xdr:nvPicPr>
      <xdr:blipFill>
        <a:blip r:embed="rId9"/>
        <a:stretch/>
      </xdr:blipFill>
      <xdr:spPr>
        <a:xfrm>
          <a:off x="3731760" y="3719160"/>
          <a:ext cx="254520" cy="156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22320</xdr:colOff>
      <xdr:row>15</xdr:row>
      <xdr:rowOff>188280</xdr:rowOff>
    </xdr:from>
    <xdr:to>
      <xdr:col>5</xdr:col>
      <xdr:colOff>276840</xdr:colOff>
      <xdr:row>16</xdr:row>
      <xdr:rowOff>153000</xdr:rowOff>
    </xdr:to>
    <xdr:pic>
      <xdr:nvPicPr>
        <xdr:cNvPr id="9" name="Imagem 10" descr=""/>
        <xdr:cNvPicPr/>
      </xdr:nvPicPr>
      <xdr:blipFill>
        <a:blip r:embed="rId10"/>
        <a:stretch/>
      </xdr:blipFill>
      <xdr:spPr>
        <a:xfrm>
          <a:off x="3737880" y="3319560"/>
          <a:ext cx="254520" cy="15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15120</xdr:colOff>
      <xdr:row>16</xdr:row>
      <xdr:rowOff>189360</xdr:rowOff>
    </xdr:from>
    <xdr:to>
      <xdr:col>11</xdr:col>
      <xdr:colOff>269640</xdr:colOff>
      <xdr:row>17</xdr:row>
      <xdr:rowOff>153360</xdr:rowOff>
    </xdr:to>
    <xdr:pic>
      <xdr:nvPicPr>
        <xdr:cNvPr id="10" name="Imagem 11" descr=""/>
        <xdr:cNvPicPr/>
      </xdr:nvPicPr>
      <xdr:blipFill>
        <a:blip r:embed="rId11"/>
        <a:stretch/>
      </xdr:blipFill>
      <xdr:spPr>
        <a:xfrm>
          <a:off x="5545800" y="3511080"/>
          <a:ext cx="254520" cy="154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14400</xdr:colOff>
      <xdr:row>19</xdr:row>
      <xdr:rowOff>19440</xdr:rowOff>
    </xdr:from>
    <xdr:to>
      <xdr:col>11</xdr:col>
      <xdr:colOff>270000</xdr:colOff>
      <xdr:row>19</xdr:row>
      <xdr:rowOff>176760</xdr:rowOff>
    </xdr:to>
    <xdr:pic>
      <xdr:nvPicPr>
        <xdr:cNvPr id="11" name="Imagem 12" descr=""/>
        <xdr:cNvPicPr/>
      </xdr:nvPicPr>
      <xdr:blipFill>
        <a:blip r:embed="rId12"/>
        <a:stretch/>
      </xdr:blipFill>
      <xdr:spPr>
        <a:xfrm>
          <a:off x="5545080" y="3912480"/>
          <a:ext cx="25560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21240</xdr:colOff>
      <xdr:row>8</xdr:row>
      <xdr:rowOff>88920</xdr:rowOff>
    </xdr:from>
    <xdr:to>
      <xdr:col>11</xdr:col>
      <xdr:colOff>274320</xdr:colOff>
      <xdr:row>9</xdr:row>
      <xdr:rowOff>55800</xdr:rowOff>
    </xdr:to>
    <xdr:pic>
      <xdr:nvPicPr>
        <xdr:cNvPr id="12" name="Imagem 13" descr=""/>
        <xdr:cNvPicPr/>
      </xdr:nvPicPr>
      <xdr:blipFill>
        <a:blip r:embed="rId13"/>
        <a:stretch/>
      </xdr:blipFill>
      <xdr:spPr>
        <a:xfrm>
          <a:off x="5551920" y="188676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12600</xdr:colOff>
      <xdr:row>5</xdr:row>
      <xdr:rowOff>45360</xdr:rowOff>
    </xdr:from>
    <xdr:to>
      <xdr:col>5</xdr:col>
      <xdr:colOff>267120</xdr:colOff>
      <xdr:row>6</xdr:row>
      <xdr:rowOff>7560</xdr:rowOff>
    </xdr:to>
    <xdr:pic>
      <xdr:nvPicPr>
        <xdr:cNvPr id="13" name="Imagem 14" descr=""/>
        <xdr:cNvPicPr/>
      </xdr:nvPicPr>
      <xdr:blipFill>
        <a:blip r:embed="rId14"/>
        <a:stretch/>
      </xdr:blipFill>
      <xdr:spPr>
        <a:xfrm>
          <a:off x="3728160" y="1271520"/>
          <a:ext cx="254520" cy="15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19440</xdr:colOff>
      <xdr:row>5</xdr:row>
      <xdr:rowOff>43560</xdr:rowOff>
    </xdr:from>
    <xdr:to>
      <xdr:col>11</xdr:col>
      <xdr:colOff>275760</xdr:colOff>
      <xdr:row>6</xdr:row>
      <xdr:rowOff>10440</xdr:rowOff>
    </xdr:to>
    <xdr:pic>
      <xdr:nvPicPr>
        <xdr:cNvPr id="14" name="Imagem 15" descr=""/>
        <xdr:cNvPicPr/>
      </xdr:nvPicPr>
      <xdr:blipFill>
        <a:blip r:embed="rId15"/>
        <a:stretch/>
      </xdr:blipFill>
      <xdr:spPr>
        <a:xfrm>
          <a:off x="5550120" y="1269720"/>
          <a:ext cx="2563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21240</xdr:colOff>
      <xdr:row>10</xdr:row>
      <xdr:rowOff>89640</xdr:rowOff>
    </xdr:from>
    <xdr:to>
      <xdr:col>11</xdr:col>
      <xdr:colOff>274320</xdr:colOff>
      <xdr:row>11</xdr:row>
      <xdr:rowOff>56520</xdr:rowOff>
    </xdr:to>
    <xdr:pic>
      <xdr:nvPicPr>
        <xdr:cNvPr id="15" name="Imagem 16" descr=""/>
        <xdr:cNvPicPr/>
      </xdr:nvPicPr>
      <xdr:blipFill>
        <a:blip r:embed="rId16"/>
        <a:stretch/>
      </xdr:blipFill>
      <xdr:spPr>
        <a:xfrm>
          <a:off x="5551920" y="226836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21240</xdr:colOff>
      <xdr:row>7</xdr:row>
      <xdr:rowOff>82080</xdr:rowOff>
    </xdr:from>
    <xdr:to>
      <xdr:col>11</xdr:col>
      <xdr:colOff>274320</xdr:colOff>
      <xdr:row>8</xdr:row>
      <xdr:rowOff>48600</xdr:rowOff>
    </xdr:to>
    <xdr:pic>
      <xdr:nvPicPr>
        <xdr:cNvPr id="16" name="Imagem 17" descr=""/>
        <xdr:cNvPicPr/>
      </xdr:nvPicPr>
      <xdr:blipFill>
        <a:blip r:embed="rId17"/>
        <a:stretch/>
      </xdr:blipFill>
      <xdr:spPr>
        <a:xfrm>
          <a:off x="5551920" y="16891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13320</xdr:colOff>
      <xdr:row>10</xdr:row>
      <xdr:rowOff>102600</xdr:rowOff>
    </xdr:from>
    <xdr:to>
      <xdr:col>5</xdr:col>
      <xdr:colOff>266400</xdr:colOff>
      <xdr:row>11</xdr:row>
      <xdr:rowOff>69480</xdr:rowOff>
    </xdr:to>
    <xdr:pic>
      <xdr:nvPicPr>
        <xdr:cNvPr id="17" name="Imagem 18" descr=""/>
        <xdr:cNvPicPr/>
      </xdr:nvPicPr>
      <xdr:blipFill>
        <a:blip r:embed="rId18"/>
        <a:stretch/>
      </xdr:blipFill>
      <xdr:spPr>
        <a:xfrm>
          <a:off x="3728880" y="22813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13320</xdr:colOff>
      <xdr:row>6</xdr:row>
      <xdr:rowOff>53280</xdr:rowOff>
    </xdr:from>
    <xdr:to>
      <xdr:col>5</xdr:col>
      <xdr:colOff>266400</xdr:colOff>
      <xdr:row>7</xdr:row>
      <xdr:rowOff>20160</xdr:rowOff>
    </xdr:to>
    <xdr:pic>
      <xdr:nvPicPr>
        <xdr:cNvPr id="18" name="Imagem 19" descr=""/>
        <xdr:cNvPicPr/>
      </xdr:nvPicPr>
      <xdr:blipFill>
        <a:blip r:embed="rId19"/>
        <a:stretch/>
      </xdr:blipFill>
      <xdr:spPr>
        <a:xfrm>
          <a:off x="3728880" y="146988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20160</xdr:colOff>
      <xdr:row>9</xdr:row>
      <xdr:rowOff>92520</xdr:rowOff>
    </xdr:from>
    <xdr:to>
      <xdr:col>11</xdr:col>
      <xdr:colOff>274680</xdr:colOff>
      <xdr:row>10</xdr:row>
      <xdr:rowOff>59400</xdr:rowOff>
    </xdr:to>
    <xdr:pic>
      <xdr:nvPicPr>
        <xdr:cNvPr id="19" name="Imagem 20" descr=""/>
        <xdr:cNvPicPr/>
      </xdr:nvPicPr>
      <xdr:blipFill>
        <a:blip r:embed="rId20"/>
        <a:stretch/>
      </xdr:blipFill>
      <xdr:spPr>
        <a:xfrm>
          <a:off x="5550840" y="208080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12600</xdr:colOff>
      <xdr:row>8</xdr:row>
      <xdr:rowOff>95760</xdr:rowOff>
    </xdr:from>
    <xdr:to>
      <xdr:col>5</xdr:col>
      <xdr:colOff>267120</xdr:colOff>
      <xdr:row>9</xdr:row>
      <xdr:rowOff>57960</xdr:rowOff>
    </xdr:to>
    <xdr:pic>
      <xdr:nvPicPr>
        <xdr:cNvPr id="20" name="Imagem 21" descr=""/>
        <xdr:cNvPicPr/>
      </xdr:nvPicPr>
      <xdr:blipFill>
        <a:blip r:embed="rId21"/>
        <a:stretch/>
      </xdr:blipFill>
      <xdr:spPr>
        <a:xfrm>
          <a:off x="3728160" y="1893600"/>
          <a:ext cx="254520" cy="15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20160</xdr:colOff>
      <xdr:row>6</xdr:row>
      <xdr:rowOff>63720</xdr:rowOff>
    </xdr:from>
    <xdr:to>
      <xdr:col>24</xdr:col>
      <xdr:colOff>273240</xdr:colOff>
      <xdr:row>7</xdr:row>
      <xdr:rowOff>30600</xdr:rowOff>
    </xdr:to>
    <xdr:pic>
      <xdr:nvPicPr>
        <xdr:cNvPr id="21" name="Imagem 22" descr=""/>
        <xdr:cNvPicPr/>
      </xdr:nvPicPr>
      <xdr:blipFill>
        <a:blip r:embed="rId22"/>
        <a:stretch/>
      </xdr:blipFill>
      <xdr:spPr>
        <a:xfrm>
          <a:off x="13154040" y="14803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20880</xdr:colOff>
      <xdr:row>5</xdr:row>
      <xdr:rowOff>38880</xdr:rowOff>
    </xdr:from>
    <xdr:to>
      <xdr:col>18</xdr:col>
      <xdr:colOff>273960</xdr:colOff>
      <xdr:row>6</xdr:row>
      <xdr:rowOff>5760</xdr:rowOff>
    </xdr:to>
    <xdr:pic>
      <xdr:nvPicPr>
        <xdr:cNvPr id="22" name="Imagem 23" descr=""/>
        <xdr:cNvPicPr/>
      </xdr:nvPicPr>
      <xdr:blipFill>
        <a:blip r:embed="rId23"/>
        <a:stretch/>
      </xdr:blipFill>
      <xdr:spPr>
        <a:xfrm>
          <a:off x="11361960" y="12650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21240</xdr:colOff>
      <xdr:row>6</xdr:row>
      <xdr:rowOff>62280</xdr:rowOff>
    </xdr:from>
    <xdr:to>
      <xdr:col>18</xdr:col>
      <xdr:colOff>274320</xdr:colOff>
      <xdr:row>7</xdr:row>
      <xdr:rowOff>29160</xdr:rowOff>
    </xdr:to>
    <xdr:pic>
      <xdr:nvPicPr>
        <xdr:cNvPr id="23" name="Imagem 24" descr=""/>
        <xdr:cNvPicPr/>
      </xdr:nvPicPr>
      <xdr:blipFill>
        <a:blip r:embed="rId24"/>
        <a:stretch/>
      </xdr:blipFill>
      <xdr:spPr>
        <a:xfrm>
          <a:off x="11362320" y="147888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16200</xdr:colOff>
      <xdr:row>8</xdr:row>
      <xdr:rowOff>77400</xdr:rowOff>
    </xdr:from>
    <xdr:to>
      <xdr:col>24</xdr:col>
      <xdr:colOff>276480</xdr:colOff>
      <xdr:row>9</xdr:row>
      <xdr:rowOff>44280</xdr:rowOff>
    </xdr:to>
    <xdr:pic>
      <xdr:nvPicPr>
        <xdr:cNvPr id="24" name="Imagem 25" descr=""/>
        <xdr:cNvPicPr/>
      </xdr:nvPicPr>
      <xdr:blipFill>
        <a:blip r:embed="rId25"/>
        <a:stretch/>
      </xdr:blipFill>
      <xdr:spPr>
        <a:xfrm>
          <a:off x="13150080" y="1875240"/>
          <a:ext cx="2602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16200</xdr:colOff>
      <xdr:row>10</xdr:row>
      <xdr:rowOff>97200</xdr:rowOff>
    </xdr:from>
    <xdr:to>
      <xdr:col>24</xdr:col>
      <xdr:colOff>276480</xdr:colOff>
      <xdr:row>11</xdr:row>
      <xdr:rowOff>64080</xdr:rowOff>
    </xdr:to>
    <xdr:pic>
      <xdr:nvPicPr>
        <xdr:cNvPr id="25" name="Imagem 26" descr=""/>
        <xdr:cNvPicPr/>
      </xdr:nvPicPr>
      <xdr:blipFill>
        <a:blip r:embed="rId26"/>
        <a:stretch/>
      </xdr:blipFill>
      <xdr:spPr>
        <a:xfrm>
          <a:off x="13150080" y="2275920"/>
          <a:ext cx="2602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20880</xdr:colOff>
      <xdr:row>9</xdr:row>
      <xdr:rowOff>92160</xdr:rowOff>
    </xdr:from>
    <xdr:to>
      <xdr:col>18</xdr:col>
      <xdr:colOff>273960</xdr:colOff>
      <xdr:row>10</xdr:row>
      <xdr:rowOff>59040</xdr:rowOff>
    </xdr:to>
    <xdr:pic>
      <xdr:nvPicPr>
        <xdr:cNvPr id="26" name="Imagem 27" descr=""/>
        <xdr:cNvPicPr/>
      </xdr:nvPicPr>
      <xdr:blipFill>
        <a:blip r:embed="rId27"/>
        <a:stretch/>
      </xdr:blipFill>
      <xdr:spPr>
        <a:xfrm>
          <a:off x="11361960" y="20804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17640</xdr:colOff>
      <xdr:row>7</xdr:row>
      <xdr:rowOff>76680</xdr:rowOff>
    </xdr:from>
    <xdr:to>
      <xdr:col>18</xdr:col>
      <xdr:colOff>270720</xdr:colOff>
      <xdr:row>8</xdr:row>
      <xdr:rowOff>43200</xdr:rowOff>
    </xdr:to>
    <xdr:pic>
      <xdr:nvPicPr>
        <xdr:cNvPr id="27" name="Imagem 28" descr=""/>
        <xdr:cNvPicPr/>
      </xdr:nvPicPr>
      <xdr:blipFill>
        <a:blip r:embed="rId28"/>
        <a:stretch/>
      </xdr:blipFill>
      <xdr:spPr>
        <a:xfrm>
          <a:off x="11358720" y="16837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20160</xdr:colOff>
      <xdr:row>9</xdr:row>
      <xdr:rowOff>88920</xdr:rowOff>
    </xdr:from>
    <xdr:to>
      <xdr:col>24</xdr:col>
      <xdr:colOff>273240</xdr:colOff>
      <xdr:row>10</xdr:row>
      <xdr:rowOff>55800</xdr:rowOff>
    </xdr:to>
    <xdr:pic>
      <xdr:nvPicPr>
        <xdr:cNvPr id="28" name="Imagem 29" descr=""/>
        <xdr:cNvPicPr/>
      </xdr:nvPicPr>
      <xdr:blipFill>
        <a:blip r:embed="rId29"/>
        <a:stretch/>
      </xdr:blipFill>
      <xdr:spPr>
        <a:xfrm>
          <a:off x="13154040" y="207720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20880</xdr:colOff>
      <xdr:row>8</xdr:row>
      <xdr:rowOff>79560</xdr:rowOff>
    </xdr:from>
    <xdr:to>
      <xdr:col>18</xdr:col>
      <xdr:colOff>273960</xdr:colOff>
      <xdr:row>9</xdr:row>
      <xdr:rowOff>46440</xdr:rowOff>
    </xdr:to>
    <xdr:pic>
      <xdr:nvPicPr>
        <xdr:cNvPr id="29" name="Imagem 30" descr=""/>
        <xdr:cNvPicPr/>
      </xdr:nvPicPr>
      <xdr:blipFill>
        <a:blip r:embed="rId30"/>
        <a:stretch/>
      </xdr:blipFill>
      <xdr:spPr>
        <a:xfrm>
          <a:off x="11361960" y="187740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18360</xdr:colOff>
      <xdr:row>13</xdr:row>
      <xdr:rowOff>157320</xdr:rowOff>
    </xdr:from>
    <xdr:to>
      <xdr:col>18</xdr:col>
      <xdr:colOff>271440</xdr:colOff>
      <xdr:row>14</xdr:row>
      <xdr:rowOff>123840</xdr:rowOff>
    </xdr:to>
    <xdr:pic>
      <xdr:nvPicPr>
        <xdr:cNvPr id="30" name="Imagem 31" descr=""/>
        <xdr:cNvPicPr/>
      </xdr:nvPicPr>
      <xdr:blipFill>
        <a:blip r:embed="rId31"/>
        <a:stretch/>
      </xdr:blipFill>
      <xdr:spPr>
        <a:xfrm>
          <a:off x="11359440" y="290736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16200</xdr:colOff>
      <xdr:row>13</xdr:row>
      <xdr:rowOff>157680</xdr:rowOff>
    </xdr:from>
    <xdr:to>
      <xdr:col>24</xdr:col>
      <xdr:colOff>269280</xdr:colOff>
      <xdr:row>14</xdr:row>
      <xdr:rowOff>124200</xdr:rowOff>
    </xdr:to>
    <xdr:pic>
      <xdr:nvPicPr>
        <xdr:cNvPr id="31" name="Imagem 32" descr=""/>
        <xdr:cNvPicPr/>
      </xdr:nvPicPr>
      <xdr:blipFill>
        <a:blip r:embed="rId32"/>
        <a:stretch/>
      </xdr:blipFill>
      <xdr:spPr>
        <a:xfrm>
          <a:off x="13150080" y="29077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18360</xdr:colOff>
      <xdr:row>14</xdr:row>
      <xdr:rowOff>180360</xdr:rowOff>
    </xdr:from>
    <xdr:to>
      <xdr:col>18</xdr:col>
      <xdr:colOff>271440</xdr:colOff>
      <xdr:row>15</xdr:row>
      <xdr:rowOff>147240</xdr:rowOff>
    </xdr:to>
    <xdr:pic>
      <xdr:nvPicPr>
        <xdr:cNvPr id="32" name="Imagem 33" descr=""/>
        <xdr:cNvPicPr/>
      </xdr:nvPicPr>
      <xdr:blipFill>
        <a:blip r:embed="rId33"/>
        <a:stretch/>
      </xdr:blipFill>
      <xdr:spPr>
        <a:xfrm>
          <a:off x="11359440" y="312120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18360</xdr:colOff>
      <xdr:row>17</xdr:row>
      <xdr:rowOff>2160</xdr:rowOff>
    </xdr:from>
    <xdr:to>
      <xdr:col>18</xdr:col>
      <xdr:colOff>271440</xdr:colOff>
      <xdr:row>17</xdr:row>
      <xdr:rowOff>159480</xdr:rowOff>
    </xdr:to>
    <xdr:pic>
      <xdr:nvPicPr>
        <xdr:cNvPr id="33" name="Imagem 34" descr=""/>
        <xdr:cNvPicPr/>
      </xdr:nvPicPr>
      <xdr:blipFill>
        <a:blip r:embed="rId34"/>
        <a:stretch/>
      </xdr:blipFill>
      <xdr:spPr>
        <a:xfrm>
          <a:off x="11359440" y="35143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14760</xdr:colOff>
      <xdr:row>18</xdr:row>
      <xdr:rowOff>10440</xdr:rowOff>
    </xdr:from>
    <xdr:to>
      <xdr:col>24</xdr:col>
      <xdr:colOff>267840</xdr:colOff>
      <xdr:row>18</xdr:row>
      <xdr:rowOff>167760</xdr:rowOff>
    </xdr:to>
    <xdr:pic>
      <xdr:nvPicPr>
        <xdr:cNvPr id="34" name="Imagem 35" descr=""/>
        <xdr:cNvPicPr/>
      </xdr:nvPicPr>
      <xdr:blipFill>
        <a:blip r:embed="rId35"/>
        <a:stretch/>
      </xdr:blipFill>
      <xdr:spPr>
        <a:xfrm>
          <a:off x="13148640" y="37130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17640</xdr:colOff>
      <xdr:row>19</xdr:row>
      <xdr:rowOff>27720</xdr:rowOff>
    </xdr:from>
    <xdr:to>
      <xdr:col>18</xdr:col>
      <xdr:colOff>272160</xdr:colOff>
      <xdr:row>19</xdr:row>
      <xdr:rowOff>180360</xdr:rowOff>
    </xdr:to>
    <xdr:pic>
      <xdr:nvPicPr>
        <xdr:cNvPr id="35" name="Imagem 36" descr=""/>
        <xdr:cNvPicPr/>
      </xdr:nvPicPr>
      <xdr:blipFill>
        <a:blip r:embed="rId36"/>
        <a:stretch/>
      </xdr:blipFill>
      <xdr:spPr>
        <a:xfrm>
          <a:off x="11358720" y="3920760"/>
          <a:ext cx="254520" cy="15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16200</xdr:colOff>
      <xdr:row>15</xdr:row>
      <xdr:rowOff>186840</xdr:rowOff>
    </xdr:from>
    <xdr:to>
      <xdr:col>24</xdr:col>
      <xdr:colOff>269280</xdr:colOff>
      <xdr:row>16</xdr:row>
      <xdr:rowOff>153720</xdr:rowOff>
    </xdr:to>
    <xdr:pic>
      <xdr:nvPicPr>
        <xdr:cNvPr id="36" name="Imagem 37" descr=""/>
        <xdr:cNvPicPr/>
      </xdr:nvPicPr>
      <xdr:blipFill>
        <a:blip r:embed="rId37"/>
        <a:stretch/>
      </xdr:blipFill>
      <xdr:spPr>
        <a:xfrm>
          <a:off x="13150080" y="33181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20520</xdr:colOff>
      <xdr:row>19</xdr:row>
      <xdr:rowOff>28080</xdr:rowOff>
    </xdr:from>
    <xdr:to>
      <xdr:col>24</xdr:col>
      <xdr:colOff>273600</xdr:colOff>
      <xdr:row>19</xdr:row>
      <xdr:rowOff>185400</xdr:rowOff>
    </xdr:to>
    <xdr:pic>
      <xdr:nvPicPr>
        <xdr:cNvPr id="37" name="Imagem 38" descr=""/>
        <xdr:cNvPicPr/>
      </xdr:nvPicPr>
      <xdr:blipFill>
        <a:blip r:embed="rId38"/>
        <a:stretch/>
      </xdr:blipFill>
      <xdr:spPr>
        <a:xfrm>
          <a:off x="13154400" y="39211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17640</xdr:colOff>
      <xdr:row>17</xdr:row>
      <xdr:rowOff>11160</xdr:rowOff>
    </xdr:from>
    <xdr:to>
      <xdr:col>24</xdr:col>
      <xdr:colOff>272160</xdr:colOff>
      <xdr:row>17</xdr:row>
      <xdr:rowOff>168480</xdr:rowOff>
    </xdr:to>
    <xdr:pic>
      <xdr:nvPicPr>
        <xdr:cNvPr id="38" name="Imagem 39" descr=""/>
        <xdr:cNvPicPr/>
      </xdr:nvPicPr>
      <xdr:blipFill>
        <a:blip r:embed="rId39"/>
        <a:stretch/>
      </xdr:blipFill>
      <xdr:spPr>
        <a:xfrm>
          <a:off x="13151520" y="352332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16200</xdr:colOff>
      <xdr:row>23</xdr:row>
      <xdr:rowOff>100080</xdr:rowOff>
    </xdr:from>
    <xdr:to>
      <xdr:col>5</xdr:col>
      <xdr:colOff>269280</xdr:colOff>
      <xdr:row>24</xdr:row>
      <xdr:rowOff>66960</xdr:rowOff>
    </xdr:to>
    <xdr:pic>
      <xdr:nvPicPr>
        <xdr:cNvPr id="39" name="Imagem 40" descr=""/>
        <xdr:cNvPicPr/>
      </xdr:nvPicPr>
      <xdr:blipFill>
        <a:blip r:embed="rId40"/>
        <a:stretch/>
      </xdr:blipFill>
      <xdr:spPr>
        <a:xfrm>
          <a:off x="3731760" y="47552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17280</xdr:colOff>
      <xdr:row>22</xdr:row>
      <xdr:rowOff>83880</xdr:rowOff>
    </xdr:from>
    <xdr:to>
      <xdr:col>5</xdr:col>
      <xdr:colOff>268200</xdr:colOff>
      <xdr:row>23</xdr:row>
      <xdr:rowOff>50760</xdr:rowOff>
    </xdr:to>
    <xdr:pic>
      <xdr:nvPicPr>
        <xdr:cNvPr id="40" name="Imagem 41" descr=""/>
        <xdr:cNvPicPr/>
      </xdr:nvPicPr>
      <xdr:blipFill>
        <a:blip r:embed="rId41"/>
        <a:stretch/>
      </xdr:blipFill>
      <xdr:spPr>
        <a:xfrm>
          <a:off x="3732840" y="454860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15480</xdr:colOff>
      <xdr:row>23</xdr:row>
      <xdr:rowOff>107280</xdr:rowOff>
    </xdr:from>
    <xdr:to>
      <xdr:col>11</xdr:col>
      <xdr:colOff>268560</xdr:colOff>
      <xdr:row>24</xdr:row>
      <xdr:rowOff>74160</xdr:rowOff>
    </xdr:to>
    <xdr:pic>
      <xdr:nvPicPr>
        <xdr:cNvPr id="41" name="Imagem 42" descr=""/>
        <xdr:cNvPicPr/>
      </xdr:nvPicPr>
      <xdr:blipFill>
        <a:blip r:embed="rId42"/>
        <a:stretch/>
      </xdr:blipFill>
      <xdr:spPr>
        <a:xfrm>
          <a:off x="5546160" y="47624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15480</xdr:colOff>
      <xdr:row>22</xdr:row>
      <xdr:rowOff>85680</xdr:rowOff>
    </xdr:from>
    <xdr:to>
      <xdr:col>11</xdr:col>
      <xdr:colOff>268560</xdr:colOff>
      <xdr:row>23</xdr:row>
      <xdr:rowOff>52560</xdr:rowOff>
    </xdr:to>
    <xdr:pic>
      <xdr:nvPicPr>
        <xdr:cNvPr id="42" name="Imagem 43" descr=""/>
        <xdr:cNvPicPr/>
      </xdr:nvPicPr>
      <xdr:blipFill>
        <a:blip r:embed="rId43"/>
        <a:stretch/>
      </xdr:blipFill>
      <xdr:spPr>
        <a:xfrm>
          <a:off x="5546160" y="455040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11880</xdr:colOff>
      <xdr:row>26</xdr:row>
      <xdr:rowOff>137160</xdr:rowOff>
    </xdr:from>
    <xdr:to>
      <xdr:col>11</xdr:col>
      <xdr:colOff>272160</xdr:colOff>
      <xdr:row>27</xdr:row>
      <xdr:rowOff>104040</xdr:rowOff>
    </xdr:to>
    <xdr:pic>
      <xdr:nvPicPr>
        <xdr:cNvPr id="43" name="Imagem 44" descr=""/>
        <xdr:cNvPicPr/>
      </xdr:nvPicPr>
      <xdr:blipFill>
        <a:blip r:embed="rId44"/>
        <a:stretch/>
      </xdr:blipFill>
      <xdr:spPr>
        <a:xfrm>
          <a:off x="5542560" y="5364000"/>
          <a:ext cx="2602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17280</xdr:colOff>
      <xdr:row>24</xdr:row>
      <xdr:rowOff>113760</xdr:rowOff>
    </xdr:from>
    <xdr:to>
      <xdr:col>5</xdr:col>
      <xdr:colOff>268200</xdr:colOff>
      <xdr:row>25</xdr:row>
      <xdr:rowOff>80640</xdr:rowOff>
    </xdr:to>
    <xdr:pic>
      <xdr:nvPicPr>
        <xdr:cNvPr id="44" name="Imagem 45" descr=""/>
        <xdr:cNvPicPr/>
      </xdr:nvPicPr>
      <xdr:blipFill>
        <a:blip r:embed="rId45"/>
        <a:stretch/>
      </xdr:blipFill>
      <xdr:spPr>
        <a:xfrm>
          <a:off x="3732840" y="495936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14760</xdr:colOff>
      <xdr:row>25</xdr:row>
      <xdr:rowOff>126000</xdr:rowOff>
    </xdr:from>
    <xdr:to>
      <xdr:col>5</xdr:col>
      <xdr:colOff>267840</xdr:colOff>
      <xdr:row>26</xdr:row>
      <xdr:rowOff>92520</xdr:rowOff>
    </xdr:to>
    <xdr:pic>
      <xdr:nvPicPr>
        <xdr:cNvPr id="45" name="Imagem 46" descr=""/>
        <xdr:cNvPicPr/>
      </xdr:nvPicPr>
      <xdr:blipFill>
        <a:blip r:embed="rId46"/>
        <a:stretch/>
      </xdr:blipFill>
      <xdr:spPr>
        <a:xfrm>
          <a:off x="3730320" y="51620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17280</xdr:colOff>
      <xdr:row>26</xdr:row>
      <xdr:rowOff>141840</xdr:rowOff>
    </xdr:from>
    <xdr:to>
      <xdr:col>5</xdr:col>
      <xdr:colOff>268200</xdr:colOff>
      <xdr:row>27</xdr:row>
      <xdr:rowOff>108720</xdr:rowOff>
    </xdr:to>
    <xdr:pic>
      <xdr:nvPicPr>
        <xdr:cNvPr id="46" name="Imagem 47" descr=""/>
        <xdr:cNvPicPr/>
      </xdr:nvPicPr>
      <xdr:blipFill>
        <a:blip r:embed="rId47"/>
        <a:stretch/>
      </xdr:blipFill>
      <xdr:spPr>
        <a:xfrm>
          <a:off x="3732840" y="536868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14760</xdr:colOff>
      <xdr:row>24</xdr:row>
      <xdr:rowOff>123840</xdr:rowOff>
    </xdr:from>
    <xdr:to>
      <xdr:col>11</xdr:col>
      <xdr:colOff>267840</xdr:colOff>
      <xdr:row>25</xdr:row>
      <xdr:rowOff>90720</xdr:rowOff>
    </xdr:to>
    <xdr:pic>
      <xdr:nvPicPr>
        <xdr:cNvPr id="47" name="Imagem 48" descr=""/>
        <xdr:cNvPicPr/>
      </xdr:nvPicPr>
      <xdr:blipFill>
        <a:blip r:embed="rId48"/>
        <a:stretch/>
      </xdr:blipFill>
      <xdr:spPr>
        <a:xfrm>
          <a:off x="5545440" y="49694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15480</xdr:colOff>
      <xdr:row>27</xdr:row>
      <xdr:rowOff>152640</xdr:rowOff>
    </xdr:from>
    <xdr:to>
      <xdr:col>11</xdr:col>
      <xdr:colOff>268560</xdr:colOff>
      <xdr:row>28</xdr:row>
      <xdr:rowOff>119520</xdr:rowOff>
    </xdr:to>
    <xdr:pic>
      <xdr:nvPicPr>
        <xdr:cNvPr id="48" name="Imagem 49" descr=""/>
        <xdr:cNvPicPr/>
      </xdr:nvPicPr>
      <xdr:blipFill>
        <a:blip r:embed="rId49"/>
        <a:stretch/>
      </xdr:blipFill>
      <xdr:spPr>
        <a:xfrm>
          <a:off x="5546160" y="55699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15480</xdr:colOff>
      <xdr:row>25</xdr:row>
      <xdr:rowOff>127440</xdr:rowOff>
    </xdr:from>
    <xdr:to>
      <xdr:col>11</xdr:col>
      <xdr:colOff>268560</xdr:colOff>
      <xdr:row>26</xdr:row>
      <xdr:rowOff>93960</xdr:rowOff>
    </xdr:to>
    <xdr:pic>
      <xdr:nvPicPr>
        <xdr:cNvPr id="49" name="Imagem 50" descr=""/>
        <xdr:cNvPicPr/>
      </xdr:nvPicPr>
      <xdr:blipFill>
        <a:blip r:embed="rId50"/>
        <a:stretch/>
      </xdr:blipFill>
      <xdr:spPr>
        <a:xfrm>
          <a:off x="5546160" y="516348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17280</xdr:colOff>
      <xdr:row>27</xdr:row>
      <xdr:rowOff>146880</xdr:rowOff>
    </xdr:from>
    <xdr:to>
      <xdr:col>5</xdr:col>
      <xdr:colOff>268200</xdr:colOff>
      <xdr:row>28</xdr:row>
      <xdr:rowOff>116640</xdr:rowOff>
    </xdr:to>
    <xdr:pic>
      <xdr:nvPicPr>
        <xdr:cNvPr id="50" name="Imagem 51" descr=""/>
        <xdr:cNvPicPr/>
      </xdr:nvPicPr>
      <xdr:blipFill>
        <a:blip r:embed="rId51"/>
        <a:stretch/>
      </xdr:blipFill>
      <xdr:spPr>
        <a:xfrm>
          <a:off x="3732840" y="5564160"/>
          <a:ext cx="250920" cy="16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17280</xdr:colOff>
      <xdr:row>22</xdr:row>
      <xdr:rowOff>92520</xdr:rowOff>
    </xdr:from>
    <xdr:to>
      <xdr:col>18</xdr:col>
      <xdr:colOff>271440</xdr:colOff>
      <xdr:row>23</xdr:row>
      <xdr:rowOff>59400</xdr:rowOff>
    </xdr:to>
    <xdr:pic>
      <xdr:nvPicPr>
        <xdr:cNvPr id="51" name="Imagem 52" descr=""/>
        <xdr:cNvPicPr/>
      </xdr:nvPicPr>
      <xdr:blipFill>
        <a:blip r:embed="rId52"/>
        <a:stretch/>
      </xdr:blipFill>
      <xdr:spPr>
        <a:xfrm>
          <a:off x="11358360" y="4557240"/>
          <a:ext cx="25416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17280</xdr:colOff>
      <xdr:row>26</xdr:row>
      <xdr:rowOff>128520</xdr:rowOff>
    </xdr:from>
    <xdr:to>
      <xdr:col>18</xdr:col>
      <xdr:colOff>271800</xdr:colOff>
      <xdr:row>27</xdr:row>
      <xdr:rowOff>91800</xdr:rowOff>
    </xdr:to>
    <xdr:pic>
      <xdr:nvPicPr>
        <xdr:cNvPr id="52" name="Imagem 53" descr=""/>
        <xdr:cNvPicPr/>
      </xdr:nvPicPr>
      <xdr:blipFill>
        <a:blip r:embed="rId53"/>
        <a:stretch/>
      </xdr:blipFill>
      <xdr:spPr>
        <a:xfrm>
          <a:off x="11358360" y="5355360"/>
          <a:ext cx="254520" cy="15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20520</xdr:colOff>
      <xdr:row>23</xdr:row>
      <xdr:rowOff>111240</xdr:rowOff>
    </xdr:from>
    <xdr:to>
      <xdr:col>24</xdr:col>
      <xdr:colOff>273600</xdr:colOff>
      <xdr:row>24</xdr:row>
      <xdr:rowOff>78120</xdr:rowOff>
    </xdr:to>
    <xdr:pic>
      <xdr:nvPicPr>
        <xdr:cNvPr id="53" name="Imagem 54" descr=""/>
        <xdr:cNvPicPr/>
      </xdr:nvPicPr>
      <xdr:blipFill>
        <a:blip r:embed="rId54"/>
        <a:stretch/>
      </xdr:blipFill>
      <xdr:spPr>
        <a:xfrm>
          <a:off x="13154400" y="476640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16560</xdr:colOff>
      <xdr:row>24</xdr:row>
      <xdr:rowOff>117000</xdr:rowOff>
    </xdr:from>
    <xdr:to>
      <xdr:col>18</xdr:col>
      <xdr:colOff>269640</xdr:colOff>
      <xdr:row>25</xdr:row>
      <xdr:rowOff>83880</xdr:rowOff>
    </xdr:to>
    <xdr:pic>
      <xdr:nvPicPr>
        <xdr:cNvPr id="54" name="Imagem 55" descr=""/>
        <xdr:cNvPicPr/>
      </xdr:nvPicPr>
      <xdr:blipFill>
        <a:blip r:embed="rId55"/>
        <a:stretch/>
      </xdr:blipFill>
      <xdr:spPr>
        <a:xfrm>
          <a:off x="11357640" y="496260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19080</xdr:colOff>
      <xdr:row>27</xdr:row>
      <xdr:rowOff>145440</xdr:rowOff>
    </xdr:from>
    <xdr:to>
      <xdr:col>18</xdr:col>
      <xdr:colOff>270000</xdr:colOff>
      <xdr:row>28</xdr:row>
      <xdr:rowOff>112320</xdr:rowOff>
    </xdr:to>
    <xdr:pic>
      <xdr:nvPicPr>
        <xdr:cNvPr id="55" name="Imagem 56" descr=""/>
        <xdr:cNvPicPr/>
      </xdr:nvPicPr>
      <xdr:blipFill>
        <a:blip r:embed="rId56"/>
        <a:stretch/>
      </xdr:blipFill>
      <xdr:spPr>
        <a:xfrm>
          <a:off x="11360160" y="556272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14760</xdr:colOff>
      <xdr:row>27</xdr:row>
      <xdr:rowOff>149040</xdr:rowOff>
    </xdr:from>
    <xdr:to>
      <xdr:col>24</xdr:col>
      <xdr:colOff>267840</xdr:colOff>
      <xdr:row>28</xdr:row>
      <xdr:rowOff>117000</xdr:rowOff>
    </xdr:to>
    <xdr:pic>
      <xdr:nvPicPr>
        <xdr:cNvPr id="56" name="Imagem 57" descr=""/>
        <xdr:cNvPicPr/>
      </xdr:nvPicPr>
      <xdr:blipFill>
        <a:blip r:embed="rId57"/>
        <a:stretch/>
      </xdr:blipFill>
      <xdr:spPr>
        <a:xfrm>
          <a:off x="13148640" y="5566320"/>
          <a:ext cx="253080" cy="158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20880</xdr:colOff>
      <xdr:row>25</xdr:row>
      <xdr:rowOff>129960</xdr:rowOff>
    </xdr:from>
    <xdr:to>
      <xdr:col>18</xdr:col>
      <xdr:colOff>271800</xdr:colOff>
      <xdr:row>26</xdr:row>
      <xdr:rowOff>99360</xdr:rowOff>
    </xdr:to>
    <xdr:pic>
      <xdr:nvPicPr>
        <xdr:cNvPr id="57" name="Imagem 58" descr=""/>
        <xdr:cNvPicPr/>
      </xdr:nvPicPr>
      <xdr:blipFill>
        <a:blip r:embed="rId58"/>
        <a:stretch/>
      </xdr:blipFill>
      <xdr:spPr>
        <a:xfrm>
          <a:off x="11361960" y="5166000"/>
          <a:ext cx="250920" cy="16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8280</xdr:colOff>
      <xdr:row>22</xdr:row>
      <xdr:rowOff>82440</xdr:rowOff>
    </xdr:from>
    <xdr:to>
      <xdr:col>24</xdr:col>
      <xdr:colOff>262800</xdr:colOff>
      <xdr:row>23</xdr:row>
      <xdr:rowOff>44640</xdr:rowOff>
    </xdr:to>
    <xdr:pic>
      <xdr:nvPicPr>
        <xdr:cNvPr id="58" name="Imagem 59" descr=""/>
        <xdr:cNvPicPr/>
      </xdr:nvPicPr>
      <xdr:blipFill>
        <a:blip r:embed="rId59"/>
        <a:stretch/>
      </xdr:blipFill>
      <xdr:spPr>
        <a:xfrm>
          <a:off x="13142160" y="4547160"/>
          <a:ext cx="254520" cy="15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19440</xdr:colOff>
      <xdr:row>24</xdr:row>
      <xdr:rowOff>114840</xdr:rowOff>
    </xdr:from>
    <xdr:to>
      <xdr:col>24</xdr:col>
      <xdr:colOff>270360</xdr:colOff>
      <xdr:row>25</xdr:row>
      <xdr:rowOff>81720</xdr:rowOff>
    </xdr:to>
    <xdr:pic>
      <xdr:nvPicPr>
        <xdr:cNvPr id="59" name="Imagem 60" descr=""/>
        <xdr:cNvPicPr/>
      </xdr:nvPicPr>
      <xdr:blipFill>
        <a:blip r:embed="rId60"/>
        <a:stretch/>
      </xdr:blipFill>
      <xdr:spPr>
        <a:xfrm>
          <a:off x="13153320" y="496044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14760</xdr:colOff>
      <xdr:row>32</xdr:row>
      <xdr:rowOff>38880</xdr:rowOff>
    </xdr:from>
    <xdr:to>
      <xdr:col>5</xdr:col>
      <xdr:colOff>267840</xdr:colOff>
      <xdr:row>33</xdr:row>
      <xdr:rowOff>5760</xdr:rowOff>
    </xdr:to>
    <xdr:pic>
      <xdr:nvPicPr>
        <xdr:cNvPr id="60" name="Imagem 61" descr=""/>
        <xdr:cNvPicPr/>
      </xdr:nvPicPr>
      <xdr:blipFill>
        <a:blip r:embed="rId61"/>
        <a:stretch/>
      </xdr:blipFill>
      <xdr:spPr>
        <a:xfrm>
          <a:off x="3730320" y="64087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7920</xdr:colOff>
      <xdr:row>32</xdr:row>
      <xdr:rowOff>46800</xdr:rowOff>
    </xdr:from>
    <xdr:to>
      <xdr:col>11</xdr:col>
      <xdr:colOff>268200</xdr:colOff>
      <xdr:row>33</xdr:row>
      <xdr:rowOff>13680</xdr:rowOff>
    </xdr:to>
    <xdr:pic>
      <xdr:nvPicPr>
        <xdr:cNvPr id="61" name="Imagem 62" descr=""/>
        <xdr:cNvPicPr/>
      </xdr:nvPicPr>
      <xdr:blipFill>
        <a:blip r:embed="rId62"/>
        <a:stretch/>
      </xdr:blipFill>
      <xdr:spPr>
        <a:xfrm>
          <a:off x="5538600" y="6416640"/>
          <a:ext cx="2602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16560</xdr:colOff>
      <xdr:row>31</xdr:row>
      <xdr:rowOff>32400</xdr:rowOff>
    </xdr:from>
    <xdr:to>
      <xdr:col>11</xdr:col>
      <xdr:colOff>269640</xdr:colOff>
      <xdr:row>31</xdr:row>
      <xdr:rowOff>189720</xdr:rowOff>
    </xdr:to>
    <xdr:pic>
      <xdr:nvPicPr>
        <xdr:cNvPr id="62" name="Imagem 63" descr=""/>
        <xdr:cNvPicPr/>
      </xdr:nvPicPr>
      <xdr:blipFill>
        <a:blip r:embed="rId63"/>
        <a:stretch/>
      </xdr:blipFill>
      <xdr:spPr>
        <a:xfrm>
          <a:off x="5547240" y="62114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12240</xdr:colOff>
      <xdr:row>31</xdr:row>
      <xdr:rowOff>25560</xdr:rowOff>
    </xdr:from>
    <xdr:to>
      <xdr:col>5</xdr:col>
      <xdr:colOff>274680</xdr:colOff>
      <xdr:row>31</xdr:row>
      <xdr:rowOff>182880</xdr:rowOff>
    </xdr:to>
    <xdr:pic>
      <xdr:nvPicPr>
        <xdr:cNvPr id="63" name="Imagem 64" descr=""/>
        <xdr:cNvPicPr/>
      </xdr:nvPicPr>
      <xdr:blipFill>
        <a:blip r:embed="rId64"/>
        <a:stretch/>
      </xdr:blipFill>
      <xdr:spPr>
        <a:xfrm>
          <a:off x="3727800" y="6204600"/>
          <a:ext cx="26244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11880</xdr:colOff>
      <xdr:row>35</xdr:row>
      <xdr:rowOff>82080</xdr:rowOff>
    </xdr:from>
    <xdr:to>
      <xdr:col>11</xdr:col>
      <xdr:colOff>268200</xdr:colOff>
      <xdr:row>36</xdr:row>
      <xdr:rowOff>58680</xdr:rowOff>
    </xdr:to>
    <xdr:pic>
      <xdr:nvPicPr>
        <xdr:cNvPr id="64" name="Imagem 65" descr=""/>
        <xdr:cNvPicPr/>
      </xdr:nvPicPr>
      <xdr:blipFill>
        <a:blip r:embed="rId65"/>
        <a:stretch/>
      </xdr:blipFill>
      <xdr:spPr>
        <a:xfrm>
          <a:off x="5542560" y="7023240"/>
          <a:ext cx="256320" cy="167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16200</xdr:colOff>
      <xdr:row>33</xdr:row>
      <xdr:rowOff>48240</xdr:rowOff>
    </xdr:from>
    <xdr:to>
      <xdr:col>11</xdr:col>
      <xdr:colOff>269280</xdr:colOff>
      <xdr:row>34</xdr:row>
      <xdr:rowOff>15120</xdr:rowOff>
    </xdr:to>
    <xdr:pic>
      <xdr:nvPicPr>
        <xdr:cNvPr id="65" name="Imagem 66" descr=""/>
        <xdr:cNvPicPr/>
      </xdr:nvPicPr>
      <xdr:blipFill>
        <a:blip r:embed="rId66"/>
        <a:stretch/>
      </xdr:blipFill>
      <xdr:spPr>
        <a:xfrm>
          <a:off x="5546880" y="66085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11160</xdr:colOff>
      <xdr:row>36</xdr:row>
      <xdr:rowOff>92520</xdr:rowOff>
    </xdr:from>
    <xdr:to>
      <xdr:col>5</xdr:col>
      <xdr:colOff>273600</xdr:colOff>
      <xdr:row>37</xdr:row>
      <xdr:rowOff>78480</xdr:rowOff>
    </xdr:to>
    <xdr:pic>
      <xdr:nvPicPr>
        <xdr:cNvPr id="66" name="Imagem 67" descr=""/>
        <xdr:cNvPicPr/>
      </xdr:nvPicPr>
      <xdr:blipFill>
        <a:blip r:embed="rId67"/>
        <a:stretch/>
      </xdr:blipFill>
      <xdr:spPr>
        <a:xfrm>
          <a:off x="3726720" y="7224120"/>
          <a:ext cx="262440" cy="17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12240</xdr:colOff>
      <xdr:row>34</xdr:row>
      <xdr:rowOff>65880</xdr:rowOff>
    </xdr:from>
    <xdr:to>
      <xdr:col>5</xdr:col>
      <xdr:colOff>274680</xdr:colOff>
      <xdr:row>35</xdr:row>
      <xdr:rowOff>32760</xdr:rowOff>
    </xdr:to>
    <xdr:pic>
      <xdr:nvPicPr>
        <xdr:cNvPr id="67" name="Imagem 68" descr=""/>
        <xdr:cNvPicPr/>
      </xdr:nvPicPr>
      <xdr:blipFill>
        <a:blip r:embed="rId68"/>
        <a:stretch/>
      </xdr:blipFill>
      <xdr:spPr>
        <a:xfrm>
          <a:off x="3727800" y="6816600"/>
          <a:ext cx="26244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16560</xdr:colOff>
      <xdr:row>34</xdr:row>
      <xdr:rowOff>59760</xdr:rowOff>
    </xdr:from>
    <xdr:to>
      <xdr:col>11</xdr:col>
      <xdr:colOff>269640</xdr:colOff>
      <xdr:row>35</xdr:row>
      <xdr:rowOff>26640</xdr:rowOff>
    </xdr:to>
    <xdr:pic>
      <xdr:nvPicPr>
        <xdr:cNvPr id="68" name="Imagem 69" descr=""/>
        <xdr:cNvPicPr/>
      </xdr:nvPicPr>
      <xdr:blipFill>
        <a:blip r:embed="rId69"/>
        <a:stretch/>
      </xdr:blipFill>
      <xdr:spPr>
        <a:xfrm>
          <a:off x="5547240" y="681048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16200</xdr:colOff>
      <xdr:row>35</xdr:row>
      <xdr:rowOff>77760</xdr:rowOff>
    </xdr:from>
    <xdr:to>
      <xdr:col>5</xdr:col>
      <xdr:colOff>269280</xdr:colOff>
      <xdr:row>36</xdr:row>
      <xdr:rowOff>44640</xdr:rowOff>
    </xdr:to>
    <xdr:pic>
      <xdr:nvPicPr>
        <xdr:cNvPr id="69" name="Imagem 70" descr=""/>
        <xdr:cNvPicPr/>
      </xdr:nvPicPr>
      <xdr:blipFill>
        <a:blip r:embed="rId70"/>
        <a:stretch/>
      </xdr:blipFill>
      <xdr:spPr>
        <a:xfrm>
          <a:off x="3731760" y="70189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12240</xdr:colOff>
      <xdr:row>33</xdr:row>
      <xdr:rowOff>54000</xdr:rowOff>
    </xdr:from>
    <xdr:to>
      <xdr:col>5</xdr:col>
      <xdr:colOff>274680</xdr:colOff>
      <xdr:row>34</xdr:row>
      <xdr:rowOff>20880</xdr:rowOff>
    </xdr:to>
    <xdr:pic>
      <xdr:nvPicPr>
        <xdr:cNvPr id="70" name="Imagem 71" descr=""/>
        <xdr:cNvPicPr/>
      </xdr:nvPicPr>
      <xdr:blipFill>
        <a:blip r:embed="rId71"/>
        <a:stretch/>
      </xdr:blipFill>
      <xdr:spPr>
        <a:xfrm>
          <a:off x="3727800" y="6614280"/>
          <a:ext cx="26244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16200</xdr:colOff>
      <xdr:row>36</xdr:row>
      <xdr:rowOff>85680</xdr:rowOff>
    </xdr:from>
    <xdr:to>
      <xdr:col>11</xdr:col>
      <xdr:colOff>276480</xdr:colOff>
      <xdr:row>37</xdr:row>
      <xdr:rowOff>52560</xdr:rowOff>
    </xdr:to>
    <xdr:pic>
      <xdr:nvPicPr>
        <xdr:cNvPr id="71" name="Imagem 72" descr=""/>
        <xdr:cNvPicPr/>
      </xdr:nvPicPr>
      <xdr:blipFill>
        <a:blip r:embed="rId72"/>
        <a:stretch/>
      </xdr:blipFill>
      <xdr:spPr>
        <a:xfrm>
          <a:off x="5546880" y="7217280"/>
          <a:ext cx="2602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18720</xdr:colOff>
      <xdr:row>31</xdr:row>
      <xdr:rowOff>21240</xdr:rowOff>
    </xdr:from>
    <xdr:to>
      <xdr:col>24</xdr:col>
      <xdr:colOff>271800</xdr:colOff>
      <xdr:row>31</xdr:row>
      <xdr:rowOff>178560</xdr:rowOff>
    </xdr:to>
    <xdr:pic>
      <xdr:nvPicPr>
        <xdr:cNvPr id="72" name="Imagem 73" descr=""/>
        <xdr:cNvPicPr/>
      </xdr:nvPicPr>
      <xdr:blipFill>
        <a:blip r:embed="rId73"/>
        <a:stretch/>
      </xdr:blipFill>
      <xdr:spPr>
        <a:xfrm>
          <a:off x="13152600" y="620028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14040</xdr:colOff>
      <xdr:row>32</xdr:row>
      <xdr:rowOff>39960</xdr:rowOff>
    </xdr:from>
    <xdr:to>
      <xdr:col>18</xdr:col>
      <xdr:colOff>268560</xdr:colOff>
      <xdr:row>33</xdr:row>
      <xdr:rowOff>1080</xdr:rowOff>
    </xdr:to>
    <xdr:pic>
      <xdr:nvPicPr>
        <xdr:cNvPr id="73" name="Imagem 74" descr=""/>
        <xdr:cNvPicPr/>
      </xdr:nvPicPr>
      <xdr:blipFill>
        <a:blip r:embed="rId74"/>
        <a:stretch/>
      </xdr:blipFill>
      <xdr:spPr>
        <a:xfrm>
          <a:off x="11355120" y="6409800"/>
          <a:ext cx="254520" cy="15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14040</xdr:colOff>
      <xdr:row>31</xdr:row>
      <xdr:rowOff>21600</xdr:rowOff>
    </xdr:from>
    <xdr:to>
      <xdr:col>18</xdr:col>
      <xdr:colOff>268560</xdr:colOff>
      <xdr:row>31</xdr:row>
      <xdr:rowOff>178920</xdr:rowOff>
    </xdr:to>
    <xdr:pic>
      <xdr:nvPicPr>
        <xdr:cNvPr id="74" name="Imagem 75" descr=""/>
        <xdr:cNvPicPr/>
      </xdr:nvPicPr>
      <xdr:blipFill>
        <a:blip r:embed="rId75"/>
        <a:stretch/>
      </xdr:blipFill>
      <xdr:spPr>
        <a:xfrm>
          <a:off x="11355120" y="620064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18000</xdr:colOff>
      <xdr:row>32</xdr:row>
      <xdr:rowOff>46440</xdr:rowOff>
    </xdr:from>
    <xdr:to>
      <xdr:col>24</xdr:col>
      <xdr:colOff>271080</xdr:colOff>
      <xdr:row>33</xdr:row>
      <xdr:rowOff>12240</xdr:rowOff>
    </xdr:to>
    <xdr:pic>
      <xdr:nvPicPr>
        <xdr:cNvPr id="75" name="Imagem 76" descr=""/>
        <xdr:cNvPicPr/>
      </xdr:nvPicPr>
      <xdr:blipFill>
        <a:blip r:embed="rId76"/>
        <a:stretch/>
      </xdr:blipFill>
      <xdr:spPr>
        <a:xfrm>
          <a:off x="13151880" y="6416280"/>
          <a:ext cx="253080" cy="156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15120</xdr:colOff>
      <xdr:row>33</xdr:row>
      <xdr:rowOff>54000</xdr:rowOff>
    </xdr:from>
    <xdr:to>
      <xdr:col>18</xdr:col>
      <xdr:colOff>268200</xdr:colOff>
      <xdr:row>34</xdr:row>
      <xdr:rowOff>20880</xdr:rowOff>
    </xdr:to>
    <xdr:pic>
      <xdr:nvPicPr>
        <xdr:cNvPr id="76" name="Imagem 77" descr=""/>
        <xdr:cNvPicPr/>
      </xdr:nvPicPr>
      <xdr:blipFill>
        <a:blip r:embed="rId77"/>
        <a:stretch/>
      </xdr:blipFill>
      <xdr:spPr>
        <a:xfrm>
          <a:off x="11356200" y="661428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20520</xdr:colOff>
      <xdr:row>36</xdr:row>
      <xdr:rowOff>87480</xdr:rowOff>
    </xdr:from>
    <xdr:to>
      <xdr:col>24</xdr:col>
      <xdr:colOff>273600</xdr:colOff>
      <xdr:row>37</xdr:row>
      <xdr:rowOff>54360</xdr:rowOff>
    </xdr:to>
    <xdr:pic>
      <xdr:nvPicPr>
        <xdr:cNvPr id="77" name="Imagem 78" descr=""/>
        <xdr:cNvPicPr/>
      </xdr:nvPicPr>
      <xdr:blipFill>
        <a:blip r:embed="rId78"/>
        <a:stretch/>
      </xdr:blipFill>
      <xdr:spPr>
        <a:xfrm>
          <a:off x="13154400" y="721908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12240</xdr:colOff>
      <xdr:row>33</xdr:row>
      <xdr:rowOff>49320</xdr:rowOff>
    </xdr:from>
    <xdr:to>
      <xdr:col>24</xdr:col>
      <xdr:colOff>274680</xdr:colOff>
      <xdr:row>34</xdr:row>
      <xdr:rowOff>16200</xdr:rowOff>
    </xdr:to>
    <xdr:pic>
      <xdr:nvPicPr>
        <xdr:cNvPr id="78" name="Imagem 79" descr=""/>
        <xdr:cNvPicPr/>
      </xdr:nvPicPr>
      <xdr:blipFill>
        <a:blip r:embed="rId79"/>
        <a:stretch/>
      </xdr:blipFill>
      <xdr:spPr>
        <a:xfrm>
          <a:off x="13146120" y="6609600"/>
          <a:ext cx="26244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12240</xdr:colOff>
      <xdr:row>35</xdr:row>
      <xdr:rowOff>73080</xdr:rowOff>
    </xdr:from>
    <xdr:to>
      <xdr:col>24</xdr:col>
      <xdr:colOff>274680</xdr:colOff>
      <xdr:row>36</xdr:row>
      <xdr:rowOff>39960</xdr:rowOff>
    </xdr:to>
    <xdr:pic>
      <xdr:nvPicPr>
        <xdr:cNvPr id="79" name="Imagem 80" descr=""/>
        <xdr:cNvPicPr/>
      </xdr:nvPicPr>
      <xdr:blipFill>
        <a:blip r:embed="rId80"/>
        <a:stretch/>
      </xdr:blipFill>
      <xdr:spPr>
        <a:xfrm>
          <a:off x="13146120" y="7014240"/>
          <a:ext cx="26244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11520</xdr:colOff>
      <xdr:row>36</xdr:row>
      <xdr:rowOff>93960</xdr:rowOff>
    </xdr:from>
    <xdr:to>
      <xdr:col>18</xdr:col>
      <xdr:colOff>285120</xdr:colOff>
      <xdr:row>37</xdr:row>
      <xdr:rowOff>79920</xdr:rowOff>
    </xdr:to>
    <xdr:pic>
      <xdr:nvPicPr>
        <xdr:cNvPr id="80" name="Imagem 81" descr=""/>
        <xdr:cNvPicPr/>
      </xdr:nvPicPr>
      <xdr:blipFill>
        <a:blip r:embed="rId81"/>
        <a:stretch/>
      </xdr:blipFill>
      <xdr:spPr>
        <a:xfrm>
          <a:off x="11352600" y="7225560"/>
          <a:ext cx="273600" cy="17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14040</xdr:colOff>
      <xdr:row>34</xdr:row>
      <xdr:rowOff>64080</xdr:rowOff>
    </xdr:from>
    <xdr:to>
      <xdr:col>18</xdr:col>
      <xdr:colOff>268560</xdr:colOff>
      <xdr:row>35</xdr:row>
      <xdr:rowOff>30960</xdr:rowOff>
    </xdr:to>
    <xdr:pic>
      <xdr:nvPicPr>
        <xdr:cNvPr id="81" name="Imagem 82" descr=""/>
        <xdr:cNvPicPr/>
      </xdr:nvPicPr>
      <xdr:blipFill>
        <a:blip r:embed="rId82"/>
        <a:stretch/>
      </xdr:blipFill>
      <xdr:spPr>
        <a:xfrm>
          <a:off x="11355120" y="681480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18720</xdr:colOff>
      <xdr:row>34</xdr:row>
      <xdr:rowOff>55440</xdr:rowOff>
    </xdr:from>
    <xdr:to>
      <xdr:col>24</xdr:col>
      <xdr:colOff>271800</xdr:colOff>
      <xdr:row>35</xdr:row>
      <xdr:rowOff>25200</xdr:rowOff>
    </xdr:to>
    <xdr:pic>
      <xdr:nvPicPr>
        <xdr:cNvPr id="82" name="Imagem 83" descr=""/>
        <xdr:cNvPicPr/>
      </xdr:nvPicPr>
      <xdr:blipFill>
        <a:blip r:embed="rId83"/>
        <a:stretch/>
      </xdr:blipFill>
      <xdr:spPr>
        <a:xfrm>
          <a:off x="13152600" y="6806160"/>
          <a:ext cx="253080" cy="16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14040</xdr:colOff>
      <xdr:row>35</xdr:row>
      <xdr:rowOff>70200</xdr:rowOff>
    </xdr:from>
    <xdr:to>
      <xdr:col>18</xdr:col>
      <xdr:colOff>268560</xdr:colOff>
      <xdr:row>36</xdr:row>
      <xdr:rowOff>37080</xdr:rowOff>
    </xdr:to>
    <xdr:pic>
      <xdr:nvPicPr>
        <xdr:cNvPr id="83" name="Imagem 84" descr=""/>
        <xdr:cNvPicPr/>
      </xdr:nvPicPr>
      <xdr:blipFill>
        <a:blip r:embed="rId84"/>
        <a:stretch/>
      </xdr:blipFill>
      <xdr:spPr>
        <a:xfrm>
          <a:off x="11355120" y="701136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16200</xdr:colOff>
      <xdr:row>39</xdr:row>
      <xdr:rowOff>147600</xdr:rowOff>
    </xdr:from>
    <xdr:to>
      <xdr:col>11</xdr:col>
      <xdr:colOff>269280</xdr:colOff>
      <xdr:row>40</xdr:row>
      <xdr:rowOff>114480</xdr:rowOff>
    </xdr:to>
    <xdr:pic>
      <xdr:nvPicPr>
        <xdr:cNvPr id="84" name="Imagem 85" descr=""/>
        <xdr:cNvPicPr/>
      </xdr:nvPicPr>
      <xdr:blipFill>
        <a:blip r:embed="rId85"/>
        <a:stretch/>
      </xdr:blipFill>
      <xdr:spPr>
        <a:xfrm>
          <a:off x="5546880" y="785088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11880</xdr:colOff>
      <xdr:row>39</xdr:row>
      <xdr:rowOff>143640</xdr:rowOff>
    </xdr:from>
    <xdr:to>
      <xdr:col>5</xdr:col>
      <xdr:colOff>262800</xdr:colOff>
      <xdr:row>40</xdr:row>
      <xdr:rowOff>110520</xdr:rowOff>
    </xdr:to>
    <xdr:pic>
      <xdr:nvPicPr>
        <xdr:cNvPr id="85" name="Imagem 86" descr=""/>
        <xdr:cNvPicPr/>
      </xdr:nvPicPr>
      <xdr:blipFill>
        <a:blip r:embed="rId86"/>
        <a:stretch/>
      </xdr:blipFill>
      <xdr:spPr>
        <a:xfrm>
          <a:off x="3727440" y="784692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11880</xdr:colOff>
      <xdr:row>40</xdr:row>
      <xdr:rowOff>166680</xdr:rowOff>
    </xdr:from>
    <xdr:to>
      <xdr:col>11</xdr:col>
      <xdr:colOff>272160</xdr:colOff>
      <xdr:row>41</xdr:row>
      <xdr:rowOff>133560</xdr:rowOff>
    </xdr:to>
    <xdr:pic>
      <xdr:nvPicPr>
        <xdr:cNvPr id="86" name="Imagem 87" descr=""/>
        <xdr:cNvPicPr/>
      </xdr:nvPicPr>
      <xdr:blipFill>
        <a:blip r:embed="rId87"/>
        <a:stretch/>
      </xdr:blipFill>
      <xdr:spPr>
        <a:xfrm>
          <a:off x="5542560" y="8060400"/>
          <a:ext cx="2602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20880</xdr:colOff>
      <xdr:row>44</xdr:row>
      <xdr:rowOff>720</xdr:rowOff>
    </xdr:from>
    <xdr:to>
      <xdr:col>11</xdr:col>
      <xdr:colOff>271800</xdr:colOff>
      <xdr:row>44</xdr:row>
      <xdr:rowOff>158040</xdr:rowOff>
    </xdr:to>
    <xdr:pic>
      <xdr:nvPicPr>
        <xdr:cNvPr id="87" name="Imagem 88" descr=""/>
        <xdr:cNvPicPr/>
      </xdr:nvPicPr>
      <xdr:blipFill>
        <a:blip r:embed="rId88"/>
        <a:stretch/>
      </xdr:blipFill>
      <xdr:spPr>
        <a:xfrm>
          <a:off x="5551560" y="865656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18360</xdr:colOff>
      <xdr:row>41</xdr:row>
      <xdr:rowOff>176040</xdr:rowOff>
    </xdr:from>
    <xdr:to>
      <xdr:col>5</xdr:col>
      <xdr:colOff>269280</xdr:colOff>
      <xdr:row>42</xdr:row>
      <xdr:rowOff>142920</xdr:rowOff>
    </xdr:to>
    <xdr:pic>
      <xdr:nvPicPr>
        <xdr:cNvPr id="88" name="Imagem 89" descr=""/>
        <xdr:cNvPicPr/>
      </xdr:nvPicPr>
      <xdr:blipFill>
        <a:blip r:embed="rId89"/>
        <a:stretch/>
      </xdr:blipFill>
      <xdr:spPr>
        <a:xfrm>
          <a:off x="3733920" y="826020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18360</xdr:colOff>
      <xdr:row>42</xdr:row>
      <xdr:rowOff>178920</xdr:rowOff>
    </xdr:from>
    <xdr:to>
      <xdr:col>5</xdr:col>
      <xdr:colOff>285120</xdr:colOff>
      <xdr:row>43</xdr:row>
      <xdr:rowOff>145800</xdr:rowOff>
    </xdr:to>
    <xdr:pic>
      <xdr:nvPicPr>
        <xdr:cNvPr id="89" name="Imagem 90" descr=""/>
        <xdr:cNvPicPr/>
      </xdr:nvPicPr>
      <xdr:blipFill>
        <a:blip r:embed="rId90"/>
        <a:stretch/>
      </xdr:blipFill>
      <xdr:spPr>
        <a:xfrm>
          <a:off x="3733920" y="8453520"/>
          <a:ext cx="26676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22680</xdr:colOff>
      <xdr:row>44</xdr:row>
      <xdr:rowOff>2160</xdr:rowOff>
    </xdr:from>
    <xdr:to>
      <xdr:col>5</xdr:col>
      <xdr:colOff>273600</xdr:colOff>
      <xdr:row>44</xdr:row>
      <xdr:rowOff>159480</xdr:rowOff>
    </xdr:to>
    <xdr:pic>
      <xdr:nvPicPr>
        <xdr:cNvPr id="90" name="Imagem 91" descr=""/>
        <xdr:cNvPicPr/>
      </xdr:nvPicPr>
      <xdr:blipFill>
        <a:blip r:embed="rId91"/>
        <a:stretch/>
      </xdr:blipFill>
      <xdr:spPr>
        <a:xfrm>
          <a:off x="3738240" y="865800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11880</xdr:colOff>
      <xdr:row>42</xdr:row>
      <xdr:rowOff>183240</xdr:rowOff>
    </xdr:from>
    <xdr:to>
      <xdr:col>11</xdr:col>
      <xdr:colOff>264960</xdr:colOff>
      <xdr:row>43</xdr:row>
      <xdr:rowOff>150120</xdr:rowOff>
    </xdr:to>
    <xdr:pic>
      <xdr:nvPicPr>
        <xdr:cNvPr id="91" name="Imagem 92" descr=""/>
        <xdr:cNvPicPr/>
      </xdr:nvPicPr>
      <xdr:blipFill>
        <a:blip r:embed="rId92"/>
        <a:stretch/>
      </xdr:blipFill>
      <xdr:spPr>
        <a:xfrm>
          <a:off x="5542560" y="84578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22680</xdr:colOff>
      <xdr:row>45</xdr:row>
      <xdr:rowOff>11520</xdr:rowOff>
    </xdr:from>
    <xdr:to>
      <xdr:col>5</xdr:col>
      <xdr:colOff>273600</xdr:colOff>
      <xdr:row>45</xdr:row>
      <xdr:rowOff>168840</xdr:rowOff>
    </xdr:to>
    <xdr:pic>
      <xdr:nvPicPr>
        <xdr:cNvPr id="92" name="Imagem 93" descr=""/>
        <xdr:cNvPicPr/>
      </xdr:nvPicPr>
      <xdr:blipFill>
        <a:blip r:embed="rId93"/>
        <a:stretch/>
      </xdr:blipFill>
      <xdr:spPr>
        <a:xfrm>
          <a:off x="3738240" y="885780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19440</xdr:colOff>
      <xdr:row>39</xdr:row>
      <xdr:rowOff>153360</xdr:rowOff>
    </xdr:from>
    <xdr:to>
      <xdr:col>18</xdr:col>
      <xdr:colOff>286200</xdr:colOff>
      <xdr:row>40</xdr:row>
      <xdr:rowOff>120240</xdr:rowOff>
    </xdr:to>
    <xdr:pic>
      <xdr:nvPicPr>
        <xdr:cNvPr id="93" name="Imagem 94" descr=""/>
        <xdr:cNvPicPr/>
      </xdr:nvPicPr>
      <xdr:blipFill>
        <a:blip r:embed="rId94"/>
        <a:stretch/>
      </xdr:blipFill>
      <xdr:spPr>
        <a:xfrm>
          <a:off x="11360520" y="7856640"/>
          <a:ext cx="26676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22680</xdr:colOff>
      <xdr:row>40</xdr:row>
      <xdr:rowOff>178200</xdr:rowOff>
    </xdr:from>
    <xdr:to>
      <xdr:col>18</xdr:col>
      <xdr:colOff>273600</xdr:colOff>
      <xdr:row>41</xdr:row>
      <xdr:rowOff>154440</xdr:rowOff>
    </xdr:to>
    <xdr:pic>
      <xdr:nvPicPr>
        <xdr:cNvPr id="94" name="Imagem 95" descr=""/>
        <xdr:cNvPicPr/>
      </xdr:nvPicPr>
      <xdr:blipFill>
        <a:blip r:embed="rId95"/>
        <a:stretch/>
      </xdr:blipFill>
      <xdr:spPr>
        <a:xfrm>
          <a:off x="11363760" y="8071920"/>
          <a:ext cx="250920" cy="166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16920</xdr:colOff>
      <xdr:row>40</xdr:row>
      <xdr:rowOff>174600</xdr:rowOff>
    </xdr:from>
    <xdr:to>
      <xdr:col>24</xdr:col>
      <xdr:colOff>267840</xdr:colOff>
      <xdr:row>41</xdr:row>
      <xdr:rowOff>153720</xdr:rowOff>
    </xdr:to>
    <xdr:pic>
      <xdr:nvPicPr>
        <xdr:cNvPr id="95" name="Imagem 96" descr=""/>
        <xdr:cNvPicPr/>
      </xdr:nvPicPr>
      <xdr:blipFill>
        <a:blip r:embed="rId96"/>
        <a:stretch/>
      </xdr:blipFill>
      <xdr:spPr>
        <a:xfrm>
          <a:off x="13150800" y="8068320"/>
          <a:ext cx="250920" cy="169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15840</xdr:colOff>
      <xdr:row>45</xdr:row>
      <xdr:rowOff>6480</xdr:rowOff>
    </xdr:from>
    <xdr:to>
      <xdr:col>24</xdr:col>
      <xdr:colOff>268920</xdr:colOff>
      <xdr:row>45</xdr:row>
      <xdr:rowOff>163800</xdr:rowOff>
    </xdr:to>
    <xdr:pic>
      <xdr:nvPicPr>
        <xdr:cNvPr id="96" name="Imagem 97" descr=""/>
        <xdr:cNvPicPr/>
      </xdr:nvPicPr>
      <xdr:blipFill>
        <a:blip r:embed="rId97"/>
        <a:stretch/>
      </xdr:blipFill>
      <xdr:spPr>
        <a:xfrm>
          <a:off x="13149720" y="885276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22680</xdr:colOff>
      <xdr:row>41</xdr:row>
      <xdr:rowOff>167400</xdr:rowOff>
    </xdr:from>
    <xdr:to>
      <xdr:col>18</xdr:col>
      <xdr:colOff>273600</xdr:colOff>
      <xdr:row>42</xdr:row>
      <xdr:rowOff>134280</xdr:rowOff>
    </xdr:to>
    <xdr:pic>
      <xdr:nvPicPr>
        <xdr:cNvPr id="97" name="Imagem 98" descr=""/>
        <xdr:cNvPicPr/>
      </xdr:nvPicPr>
      <xdr:blipFill>
        <a:blip r:embed="rId98"/>
        <a:stretch/>
      </xdr:blipFill>
      <xdr:spPr>
        <a:xfrm>
          <a:off x="11363760" y="825156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15840</xdr:colOff>
      <xdr:row>42</xdr:row>
      <xdr:rowOff>187560</xdr:rowOff>
    </xdr:from>
    <xdr:to>
      <xdr:col>24</xdr:col>
      <xdr:colOff>286200</xdr:colOff>
      <xdr:row>43</xdr:row>
      <xdr:rowOff>154440</xdr:rowOff>
    </xdr:to>
    <xdr:pic>
      <xdr:nvPicPr>
        <xdr:cNvPr id="98" name="Imagem 99" descr=""/>
        <xdr:cNvPicPr/>
      </xdr:nvPicPr>
      <xdr:blipFill>
        <a:blip r:embed="rId99"/>
        <a:stretch/>
      </xdr:blipFill>
      <xdr:spPr>
        <a:xfrm>
          <a:off x="13149720" y="8462160"/>
          <a:ext cx="27036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11880</xdr:colOff>
      <xdr:row>44</xdr:row>
      <xdr:rowOff>3960</xdr:rowOff>
    </xdr:from>
    <xdr:to>
      <xdr:col>18</xdr:col>
      <xdr:colOff>272160</xdr:colOff>
      <xdr:row>44</xdr:row>
      <xdr:rowOff>161280</xdr:rowOff>
    </xdr:to>
    <xdr:pic>
      <xdr:nvPicPr>
        <xdr:cNvPr id="99" name="Imagem 100" descr=""/>
        <xdr:cNvPicPr/>
      </xdr:nvPicPr>
      <xdr:blipFill>
        <a:blip r:embed="rId100"/>
        <a:stretch/>
      </xdr:blipFill>
      <xdr:spPr>
        <a:xfrm>
          <a:off x="11352960" y="8659800"/>
          <a:ext cx="2602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15840</xdr:colOff>
      <xdr:row>44</xdr:row>
      <xdr:rowOff>-720</xdr:rowOff>
    </xdr:from>
    <xdr:to>
      <xdr:col>24</xdr:col>
      <xdr:colOff>268920</xdr:colOff>
      <xdr:row>44</xdr:row>
      <xdr:rowOff>156600</xdr:rowOff>
    </xdr:to>
    <xdr:pic>
      <xdr:nvPicPr>
        <xdr:cNvPr id="100" name="Imagem 101" descr=""/>
        <xdr:cNvPicPr/>
      </xdr:nvPicPr>
      <xdr:blipFill>
        <a:blip r:embed="rId101"/>
        <a:stretch/>
      </xdr:blipFill>
      <xdr:spPr>
        <a:xfrm>
          <a:off x="13149720" y="86551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16920</xdr:colOff>
      <xdr:row>41</xdr:row>
      <xdr:rowOff>167040</xdr:rowOff>
    </xdr:from>
    <xdr:to>
      <xdr:col>24</xdr:col>
      <xdr:colOff>267840</xdr:colOff>
      <xdr:row>42</xdr:row>
      <xdr:rowOff>133920</xdr:rowOff>
    </xdr:to>
    <xdr:pic>
      <xdr:nvPicPr>
        <xdr:cNvPr id="101" name="Imagem 102" descr=""/>
        <xdr:cNvPicPr/>
      </xdr:nvPicPr>
      <xdr:blipFill>
        <a:blip r:embed="rId102"/>
        <a:stretch/>
      </xdr:blipFill>
      <xdr:spPr>
        <a:xfrm>
          <a:off x="13150800" y="825120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10800</xdr:colOff>
      <xdr:row>45</xdr:row>
      <xdr:rowOff>18720</xdr:rowOff>
    </xdr:from>
    <xdr:to>
      <xdr:col>18</xdr:col>
      <xdr:colOff>261720</xdr:colOff>
      <xdr:row>45</xdr:row>
      <xdr:rowOff>176040</xdr:rowOff>
    </xdr:to>
    <xdr:pic>
      <xdr:nvPicPr>
        <xdr:cNvPr id="102" name="Imagem 103" descr=""/>
        <xdr:cNvPicPr/>
      </xdr:nvPicPr>
      <xdr:blipFill>
        <a:blip r:embed="rId103"/>
        <a:stretch/>
      </xdr:blipFill>
      <xdr:spPr>
        <a:xfrm>
          <a:off x="11351880" y="8865000"/>
          <a:ext cx="2509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11880</xdr:colOff>
      <xdr:row>42</xdr:row>
      <xdr:rowOff>184320</xdr:rowOff>
    </xdr:from>
    <xdr:to>
      <xdr:col>18</xdr:col>
      <xdr:colOff>264960</xdr:colOff>
      <xdr:row>43</xdr:row>
      <xdr:rowOff>151200</xdr:rowOff>
    </xdr:to>
    <xdr:pic>
      <xdr:nvPicPr>
        <xdr:cNvPr id="103" name="Imagem 104" descr=""/>
        <xdr:cNvPicPr/>
      </xdr:nvPicPr>
      <xdr:blipFill>
        <a:blip r:embed="rId104"/>
        <a:stretch/>
      </xdr:blipFill>
      <xdr:spPr>
        <a:xfrm>
          <a:off x="11352960" y="84589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14040</xdr:colOff>
      <xdr:row>49</xdr:row>
      <xdr:rowOff>89640</xdr:rowOff>
    </xdr:from>
    <xdr:to>
      <xdr:col>5</xdr:col>
      <xdr:colOff>270360</xdr:colOff>
      <xdr:row>50</xdr:row>
      <xdr:rowOff>56160</xdr:rowOff>
    </xdr:to>
    <xdr:pic>
      <xdr:nvPicPr>
        <xdr:cNvPr id="104" name="Imagem 105" descr=""/>
        <xdr:cNvPicPr/>
      </xdr:nvPicPr>
      <xdr:blipFill>
        <a:blip r:embed="rId105"/>
        <a:stretch/>
      </xdr:blipFill>
      <xdr:spPr>
        <a:xfrm>
          <a:off x="3729600" y="9697680"/>
          <a:ext cx="2563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14040</xdr:colOff>
      <xdr:row>48</xdr:row>
      <xdr:rowOff>72000</xdr:rowOff>
    </xdr:from>
    <xdr:to>
      <xdr:col>5</xdr:col>
      <xdr:colOff>270360</xdr:colOff>
      <xdr:row>49</xdr:row>
      <xdr:rowOff>38880</xdr:rowOff>
    </xdr:to>
    <xdr:pic>
      <xdr:nvPicPr>
        <xdr:cNvPr id="105" name="Imagem 106" descr=""/>
        <xdr:cNvPicPr/>
      </xdr:nvPicPr>
      <xdr:blipFill>
        <a:blip r:embed="rId106"/>
        <a:stretch/>
      </xdr:blipFill>
      <xdr:spPr>
        <a:xfrm>
          <a:off x="3729600" y="9489600"/>
          <a:ext cx="2563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20520</xdr:colOff>
      <xdr:row>49</xdr:row>
      <xdr:rowOff>101880</xdr:rowOff>
    </xdr:from>
    <xdr:to>
      <xdr:col>11</xdr:col>
      <xdr:colOff>273600</xdr:colOff>
      <xdr:row>50</xdr:row>
      <xdr:rowOff>68400</xdr:rowOff>
    </xdr:to>
    <xdr:pic>
      <xdr:nvPicPr>
        <xdr:cNvPr id="106" name="Imagem 107" descr=""/>
        <xdr:cNvPicPr/>
      </xdr:nvPicPr>
      <xdr:blipFill>
        <a:blip r:embed="rId107"/>
        <a:stretch/>
      </xdr:blipFill>
      <xdr:spPr>
        <a:xfrm>
          <a:off x="5551200" y="97099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11880</xdr:colOff>
      <xdr:row>52</xdr:row>
      <xdr:rowOff>125640</xdr:rowOff>
    </xdr:from>
    <xdr:to>
      <xdr:col>11</xdr:col>
      <xdr:colOff>272160</xdr:colOff>
      <xdr:row>53</xdr:row>
      <xdr:rowOff>92520</xdr:rowOff>
    </xdr:to>
    <xdr:pic>
      <xdr:nvPicPr>
        <xdr:cNvPr id="107" name="Imagem 108" descr=""/>
        <xdr:cNvPicPr/>
      </xdr:nvPicPr>
      <xdr:blipFill>
        <a:blip r:embed="rId108"/>
        <a:stretch/>
      </xdr:blipFill>
      <xdr:spPr>
        <a:xfrm>
          <a:off x="5542560" y="10305360"/>
          <a:ext cx="2602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10080</xdr:colOff>
      <xdr:row>50</xdr:row>
      <xdr:rowOff>100080</xdr:rowOff>
    </xdr:from>
    <xdr:to>
      <xdr:col>5</xdr:col>
      <xdr:colOff>276480</xdr:colOff>
      <xdr:row>51</xdr:row>
      <xdr:rowOff>66960</xdr:rowOff>
    </xdr:to>
    <xdr:pic>
      <xdr:nvPicPr>
        <xdr:cNvPr id="108" name="Imagem 109" descr=""/>
        <xdr:cNvPicPr/>
      </xdr:nvPicPr>
      <xdr:blipFill>
        <a:blip r:embed="rId109"/>
        <a:stretch/>
      </xdr:blipFill>
      <xdr:spPr>
        <a:xfrm>
          <a:off x="3725640" y="9898920"/>
          <a:ext cx="26640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10080</xdr:colOff>
      <xdr:row>52</xdr:row>
      <xdr:rowOff>118440</xdr:rowOff>
    </xdr:from>
    <xdr:to>
      <xdr:col>5</xdr:col>
      <xdr:colOff>271080</xdr:colOff>
      <xdr:row>53</xdr:row>
      <xdr:rowOff>85320</xdr:rowOff>
    </xdr:to>
    <xdr:pic>
      <xdr:nvPicPr>
        <xdr:cNvPr id="109" name="Imagem 110" descr=""/>
        <xdr:cNvPicPr/>
      </xdr:nvPicPr>
      <xdr:blipFill>
        <a:blip r:embed="rId110"/>
        <a:stretch/>
      </xdr:blipFill>
      <xdr:spPr>
        <a:xfrm>
          <a:off x="3725640" y="10298160"/>
          <a:ext cx="26100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10080</xdr:colOff>
      <xdr:row>51</xdr:row>
      <xdr:rowOff>108720</xdr:rowOff>
    </xdr:from>
    <xdr:to>
      <xdr:col>5</xdr:col>
      <xdr:colOff>271080</xdr:colOff>
      <xdr:row>52</xdr:row>
      <xdr:rowOff>75600</xdr:rowOff>
    </xdr:to>
    <xdr:pic>
      <xdr:nvPicPr>
        <xdr:cNvPr id="110" name="Imagem 111" descr=""/>
        <xdr:cNvPicPr/>
      </xdr:nvPicPr>
      <xdr:blipFill>
        <a:blip r:embed="rId111"/>
        <a:stretch/>
      </xdr:blipFill>
      <xdr:spPr>
        <a:xfrm>
          <a:off x="3725640" y="10098000"/>
          <a:ext cx="26100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14760</xdr:colOff>
      <xdr:row>50</xdr:row>
      <xdr:rowOff>99000</xdr:rowOff>
    </xdr:from>
    <xdr:to>
      <xdr:col>11</xdr:col>
      <xdr:colOff>267840</xdr:colOff>
      <xdr:row>51</xdr:row>
      <xdr:rowOff>65880</xdr:rowOff>
    </xdr:to>
    <xdr:pic>
      <xdr:nvPicPr>
        <xdr:cNvPr id="111" name="Imagem 112" descr=""/>
        <xdr:cNvPicPr/>
      </xdr:nvPicPr>
      <xdr:blipFill>
        <a:blip r:embed="rId112"/>
        <a:stretch/>
      </xdr:blipFill>
      <xdr:spPr>
        <a:xfrm>
          <a:off x="5545440" y="98978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14760</xdr:colOff>
      <xdr:row>53</xdr:row>
      <xdr:rowOff>128880</xdr:rowOff>
    </xdr:from>
    <xdr:to>
      <xdr:col>11</xdr:col>
      <xdr:colOff>267840</xdr:colOff>
      <xdr:row>54</xdr:row>
      <xdr:rowOff>95760</xdr:rowOff>
    </xdr:to>
    <xdr:pic>
      <xdr:nvPicPr>
        <xdr:cNvPr id="112" name="Imagem 113" descr=""/>
        <xdr:cNvPicPr/>
      </xdr:nvPicPr>
      <xdr:blipFill>
        <a:blip r:embed="rId113"/>
        <a:stretch/>
      </xdr:blipFill>
      <xdr:spPr>
        <a:xfrm>
          <a:off x="5545440" y="104990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16200</xdr:colOff>
      <xdr:row>49</xdr:row>
      <xdr:rowOff>97560</xdr:rowOff>
    </xdr:from>
    <xdr:to>
      <xdr:col>18</xdr:col>
      <xdr:colOff>269280</xdr:colOff>
      <xdr:row>50</xdr:row>
      <xdr:rowOff>64080</xdr:rowOff>
    </xdr:to>
    <xdr:pic>
      <xdr:nvPicPr>
        <xdr:cNvPr id="113" name="Imagem 114" descr=""/>
        <xdr:cNvPicPr/>
      </xdr:nvPicPr>
      <xdr:blipFill>
        <a:blip r:embed="rId114"/>
        <a:stretch/>
      </xdr:blipFill>
      <xdr:spPr>
        <a:xfrm>
          <a:off x="11357280" y="970560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16200</xdr:colOff>
      <xdr:row>48</xdr:row>
      <xdr:rowOff>78480</xdr:rowOff>
    </xdr:from>
    <xdr:to>
      <xdr:col>24</xdr:col>
      <xdr:colOff>269280</xdr:colOff>
      <xdr:row>49</xdr:row>
      <xdr:rowOff>45360</xdr:rowOff>
    </xdr:to>
    <xdr:pic>
      <xdr:nvPicPr>
        <xdr:cNvPr id="114" name="Imagem 115" descr=""/>
        <xdr:cNvPicPr/>
      </xdr:nvPicPr>
      <xdr:blipFill>
        <a:blip r:embed="rId115"/>
        <a:stretch/>
      </xdr:blipFill>
      <xdr:spPr>
        <a:xfrm>
          <a:off x="13150080" y="949608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12240</xdr:colOff>
      <xdr:row>49</xdr:row>
      <xdr:rowOff>95400</xdr:rowOff>
    </xdr:from>
    <xdr:to>
      <xdr:col>24</xdr:col>
      <xdr:colOff>265320</xdr:colOff>
      <xdr:row>50</xdr:row>
      <xdr:rowOff>61920</xdr:rowOff>
    </xdr:to>
    <xdr:pic>
      <xdr:nvPicPr>
        <xdr:cNvPr id="115" name="Imagem 116" descr=""/>
        <xdr:cNvPicPr/>
      </xdr:nvPicPr>
      <xdr:blipFill>
        <a:blip r:embed="rId116"/>
        <a:stretch/>
      </xdr:blipFill>
      <xdr:spPr>
        <a:xfrm>
          <a:off x="13146120" y="97034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14760</xdr:colOff>
      <xdr:row>48</xdr:row>
      <xdr:rowOff>75960</xdr:rowOff>
    </xdr:from>
    <xdr:to>
      <xdr:col>18</xdr:col>
      <xdr:colOff>269280</xdr:colOff>
      <xdr:row>49</xdr:row>
      <xdr:rowOff>38160</xdr:rowOff>
    </xdr:to>
    <xdr:pic>
      <xdr:nvPicPr>
        <xdr:cNvPr id="116" name="Imagem 117" descr=""/>
        <xdr:cNvPicPr/>
      </xdr:nvPicPr>
      <xdr:blipFill>
        <a:blip r:embed="rId117"/>
        <a:stretch/>
      </xdr:blipFill>
      <xdr:spPr>
        <a:xfrm>
          <a:off x="11355840" y="9493560"/>
          <a:ext cx="254520" cy="15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20160</xdr:colOff>
      <xdr:row>53</xdr:row>
      <xdr:rowOff>142200</xdr:rowOff>
    </xdr:from>
    <xdr:to>
      <xdr:col>24</xdr:col>
      <xdr:colOff>273240</xdr:colOff>
      <xdr:row>54</xdr:row>
      <xdr:rowOff>109080</xdr:rowOff>
    </xdr:to>
    <xdr:pic>
      <xdr:nvPicPr>
        <xdr:cNvPr id="117" name="Imagem 118" descr=""/>
        <xdr:cNvPicPr/>
      </xdr:nvPicPr>
      <xdr:blipFill>
        <a:blip r:embed="rId118"/>
        <a:stretch/>
      </xdr:blipFill>
      <xdr:spPr>
        <a:xfrm>
          <a:off x="13154040" y="1051236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23040</xdr:colOff>
      <xdr:row>50</xdr:row>
      <xdr:rowOff>105480</xdr:rowOff>
    </xdr:from>
    <xdr:to>
      <xdr:col>24</xdr:col>
      <xdr:colOff>276120</xdr:colOff>
      <xdr:row>51</xdr:row>
      <xdr:rowOff>72360</xdr:rowOff>
    </xdr:to>
    <xdr:pic>
      <xdr:nvPicPr>
        <xdr:cNvPr id="118" name="Imagem 119" descr=""/>
        <xdr:cNvPicPr/>
      </xdr:nvPicPr>
      <xdr:blipFill>
        <a:blip r:embed="rId119"/>
        <a:stretch/>
      </xdr:blipFill>
      <xdr:spPr>
        <a:xfrm>
          <a:off x="13156920" y="99043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8280</xdr:colOff>
      <xdr:row>52</xdr:row>
      <xdr:rowOff>120960</xdr:rowOff>
    </xdr:from>
    <xdr:to>
      <xdr:col>24</xdr:col>
      <xdr:colOff>262800</xdr:colOff>
      <xdr:row>53</xdr:row>
      <xdr:rowOff>83160</xdr:rowOff>
    </xdr:to>
    <xdr:pic>
      <xdr:nvPicPr>
        <xdr:cNvPr id="119" name="Imagem 120" descr=""/>
        <xdr:cNvPicPr/>
      </xdr:nvPicPr>
      <xdr:blipFill>
        <a:blip r:embed="rId120"/>
        <a:stretch/>
      </xdr:blipFill>
      <xdr:spPr>
        <a:xfrm>
          <a:off x="13142160" y="10300680"/>
          <a:ext cx="254520" cy="15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16560</xdr:colOff>
      <xdr:row>50</xdr:row>
      <xdr:rowOff>104760</xdr:rowOff>
    </xdr:from>
    <xdr:to>
      <xdr:col>18</xdr:col>
      <xdr:colOff>269640</xdr:colOff>
      <xdr:row>51</xdr:row>
      <xdr:rowOff>71640</xdr:rowOff>
    </xdr:to>
    <xdr:pic>
      <xdr:nvPicPr>
        <xdr:cNvPr id="120" name="Imagem 121" descr=""/>
        <xdr:cNvPicPr/>
      </xdr:nvPicPr>
      <xdr:blipFill>
        <a:blip r:embed="rId121"/>
        <a:stretch/>
      </xdr:blipFill>
      <xdr:spPr>
        <a:xfrm>
          <a:off x="11357640" y="990360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18720</xdr:colOff>
      <xdr:row>52</xdr:row>
      <xdr:rowOff>130320</xdr:rowOff>
    </xdr:from>
    <xdr:to>
      <xdr:col>18</xdr:col>
      <xdr:colOff>271800</xdr:colOff>
      <xdr:row>53</xdr:row>
      <xdr:rowOff>97200</xdr:rowOff>
    </xdr:to>
    <xdr:pic>
      <xdr:nvPicPr>
        <xdr:cNvPr id="121" name="Imagem 122" descr=""/>
        <xdr:cNvPicPr/>
      </xdr:nvPicPr>
      <xdr:blipFill>
        <a:blip r:embed="rId122"/>
        <a:stretch/>
      </xdr:blipFill>
      <xdr:spPr>
        <a:xfrm>
          <a:off x="11359800" y="1031004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14760</xdr:colOff>
      <xdr:row>51</xdr:row>
      <xdr:rowOff>116640</xdr:rowOff>
    </xdr:from>
    <xdr:to>
      <xdr:col>18</xdr:col>
      <xdr:colOff>267840</xdr:colOff>
      <xdr:row>52</xdr:row>
      <xdr:rowOff>83520</xdr:rowOff>
    </xdr:to>
    <xdr:pic>
      <xdr:nvPicPr>
        <xdr:cNvPr id="122" name="Imagem 123" descr=""/>
        <xdr:cNvPicPr/>
      </xdr:nvPicPr>
      <xdr:blipFill>
        <a:blip r:embed="rId123"/>
        <a:stretch/>
      </xdr:blipFill>
      <xdr:spPr>
        <a:xfrm>
          <a:off x="11355840" y="10105920"/>
          <a:ext cx="25308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18720</xdr:colOff>
      <xdr:row>51</xdr:row>
      <xdr:rowOff>115920</xdr:rowOff>
    </xdr:from>
    <xdr:to>
      <xdr:col>24</xdr:col>
      <xdr:colOff>273240</xdr:colOff>
      <xdr:row>52</xdr:row>
      <xdr:rowOff>78120</xdr:rowOff>
    </xdr:to>
    <xdr:pic>
      <xdr:nvPicPr>
        <xdr:cNvPr id="123" name="Imagem 124" descr=""/>
        <xdr:cNvPicPr/>
      </xdr:nvPicPr>
      <xdr:blipFill>
        <a:blip r:embed="rId124"/>
        <a:stretch/>
      </xdr:blipFill>
      <xdr:spPr>
        <a:xfrm>
          <a:off x="13152600" y="10105200"/>
          <a:ext cx="254520" cy="15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18720</xdr:colOff>
      <xdr:row>53</xdr:row>
      <xdr:rowOff>139680</xdr:rowOff>
    </xdr:from>
    <xdr:to>
      <xdr:col>18</xdr:col>
      <xdr:colOff>273240</xdr:colOff>
      <xdr:row>54</xdr:row>
      <xdr:rowOff>101880</xdr:rowOff>
    </xdr:to>
    <xdr:pic>
      <xdr:nvPicPr>
        <xdr:cNvPr id="124" name="Imagem 125" descr=""/>
        <xdr:cNvPicPr/>
      </xdr:nvPicPr>
      <xdr:blipFill>
        <a:blip r:embed="rId125"/>
        <a:stretch/>
      </xdr:blipFill>
      <xdr:spPr>
        <a:xfrm>
          <a:off x="11359800" y="10509840"/>
          <a:ext cx="254520" cy="15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17280</xdr:colOff>
      <xdr:row>39</xdr:row>
      <xdr:rowOff>126360</xdr:rowOff>
    </xdr:from>
    <xdr:to>
      <xdr:col>24</xdr:col>
      <xdr:colOff>267840</xdr:colOff>
      <xdr:row>40</xdr:row>
      <xdr:rowOff>95040</xdr:rowOff>
    </xdr:to>
    <xdr:pic>
      <xdr:nvPicPr>
        <xdr:cNvPr id="125" name="Imagem 126" descr=""/>
        <xdr:cNvPicPr/>
      </xdr:nvPicPr>
      <xdr:blipFill>
        <a:blip r:embed="rId126"/>
        <a:stretch/>
      </xdr:blipFill>
      <xdr:spPr>
        <a:xfrm>
          <a:off x="13151160" y="7829640"/>
          <a:ext cx="250560" cy="15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15120</xdr:colOff>
      <xdr:row>7</xdr:row>
      <xdr:rowOff>81000</xdr:rowOff>
    </xdr:from>
    <xdr:to>
      <xdr:col>5</xdr:col>
      <xdr:colOff>269640</xdr:colOff>
      <xdr:row>8</xdr:row>
      <xdr:rowOff>47520</xdr:rowOff>
    </xdr:to>
    <xdr:pic>
      <xdr:nvPicPr>
        <xdr:cNvPr id="126" name="Imagem 127" descr=""/>
        <xdr:cNvPicPr/>
      </xdr:nvPicPr>
      <xdr:blipFill>
        <a:blip r:embed="rId127"/>
        <a:stretch/>
      </xdr:blipFill>
      <xdr:spPr>
        <a:xfrm>
          <a:off x="3730680" y="168804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15120</xdr:colOff>
      <xdr:row>9</xdr:row>
      <xdr:rowOff>99720</xdr:rowOff>
    </xdr:from>
    <xdr:to>
      <xdr:col>5</xdr:col>
      <xdr:colOff>269640</xdr:colOff>
      <xdr:row>10</xdr:row>
      <xdr:rowOff>66600</xdr:rowOff>
    </xdr:to>
    <xdr:pic>
      <xdr:nvPicPr>
        <xdr:cNvPr id="127" name="Imagem 128" descr=""/>
        <xdr:cNvPicPr/>
      </xdr:nvPicPr>
      <xdr:blipFill>
        <a:blip r:embed="rId128"/>
        <a:stretch/>
      </xdr:blipFill>
      <xdr:spPr>
        <a:xfrm>
          <a:off x="3730680" y="208800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15120</xdr:colOff>
      <xdr:row>6</xdr:row>
      <xdr:rowOff>71280</xdr:rowOff>
    </xdr:from>
    <xdr:to>
      <xdr:col>11</xdr:col>
      <xdr:colOff>269640</xdr:colOff>
      <xdr:row>7</xdr:row>
      <xdr:rowOff>38160</xdr:rowOff>
    </xdr:to>
    <xdr:pic>
      <xdr:nvPicPr>
        <xdr:cNvPr id="128" name="Imagem 129" descr=""/>
        <xdr:cNvPicPr/>
      </xdr:nvPicPr>
      <xdr:blipFill>
        <a:blip r:embed="rId129"/>
        <a:stretch/>
      </xdr:blipFill>
      <xdr:spPr>
        <a:xfrm>
          <a:off x="5545800" y="148788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20160</xdr:colOff>
      <xdr:row>10</xdr:row>
      <xdr:rowOff>101520</xdr:rowOff>
    </xdr:from>
    <xdr:to>
      <xdr:col>18</xdr:col>
      <xdr:colOff>274680</xdr:colOff>
      <xdr:row>11</xdr:row>
      <xdr:rowOff>68400</xdr:rowOff>
    </xdr:to>
    <xdr:pic>
      <xdr:nvPicPr>
        <xdr:cNvPr id="129" name="Imagem 130" descr=""/>
        <xdr:cNvPicPr/>
      </xdr:nvPicPr>
      <xdr:blipFill>
        <a:blip r:embed="rId130"/>
        <a:stretch/>
      </xdr:blipFill>
      <xdr:spPr>
        <a:xfrm>
          <a:off x="11361240" y="228024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19440</xdr:colOff>
      <xdr:row>5</xdr:row>
      <xdr:rowOff>59760</xdr:rowOff>
    </xdr:from>
    <xdr:to>
      <xdr:col>24</xdr:col>
      <xdr:colOff>273960</xdr:colOff>
      <xdr:row>6</xdr:row>
      <xdr:rowOff>45720</xdr:rowOff>
    </xdr:to>
    <xdr:pic>
      <xdr:nvPicPr>
        <xdr:cNvPr id="130" name="Imagem 131" descr=""/>
        <xdr:cNvPicPr/>
      </xdr:nvPicPr>
      <xdr:blipFill>
        <a:blip r:embed="rId131"/>
        <a:stretch/>
      </xdr:blipFill>
      <xdr:spPr>
        <a:xfrm>
          <a:off x="13153320" y="1285920"/>
          <a:ext cx="254520" cy="17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19440</xdr:colOff>
      <xdr:row>7</xdr:row>
      <xdr:rowOff>81000</xdr:rowOff>
    </xdr:from>
    <xdr:to>
      <xdr:col>24</xdr:col>
      <xdr:colOff>273960</xdr:colOff>
      <xdr:row>8</xdr:row>
      <xdr:rowOff>47520</xdr:rowOff>
    </xdr:to>
    <xdr:pic>
      <xdr:nvPicPr>
        <xdr:cNvPr id="131" name="Imagem 132" descr=""/>
        <xdr:cNvPicPr/>
      </xdr:nvPicPr>
      <xdr:blipFill>
        <a:blip r:embed="rId132"/>
        <a:stretch/>
      </xdr:blipFill>
      <xdr:spPr>
        <a:xfrm>
          <a:off x="13153320" y="168804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17640</xdr:colOff>
      <xdr:row>16</xdr:row>
      <xdr:rowOff>4680</xdr:rowOff>
    </xdr:from>
    <xdr:to>
      <xdr:col>18</xdr:col>
      <xdr:colOff>272160</xdr:colOff>
      <xdr:row>16</xdr:row>
      <xdr:rowOff>162000</xdr:rowOff>
    </xdr:to>
    <xdr:pic>
      <xdr:nvPicPr>
        <xdr:cNvPr id="132" name="Imagem 133" descr=""/>
        <xdr:cNvPicPr/>
      </xdr:nvPicPr>
      <xdr:blipFill>
        <a:blip r:embed="rId133"/>
        <a:stretch/>
      </xdr:blipFill>
      <xdr:spPr>
        <a:xfrm>
          <a:off x="11358720" y="332640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17640</xdr:colOff>
      <xdr:row>18</xdr:row>
      <xdr:rowOff>23760</xdr:rowOff>
    </xdr:from>
    <xdr:to>
      <xdr:col>18</xdr:col>
      <xdr:colOff>272160</xdr:colOff>
      <xdr:row>18</xdr:row>
      <xdr:rowOff>181080</xdr:rowOff>
    </xdr:to>
    <xdr:pic>
      <xdr:nvPicPr>
        <xdr:cNvPr id="133" name="Imagem 134" descr=""/>
        <xdr:cNvPicPr/>
      </xdr:nvPicPr>
      <xdr:blipFill>
        <a:blip r:embed="rId134"/>
        <a:stretch/>
      </xdr:blipFill>
      <xdr:spPr>
        <a:xfrm>
          <a:off x="11358720" y="372636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15120</xdr:colOff>
      <xdr:row>14</xdr:row>
      <xdr:rowOff>185400</xdr:rowOff>
    </xdr:from>
    <xdr:to>
      <xdr:col>24</xdr:col>
      <xdr:colOff>269640</xdr:colOff>
      <xdr:row>15</xdr:row>
      <xdr:rowOff>152280</xdr:rowOff>
    </xdr:to>
    <xdr:pic>
      <xdr:nvPicPr>
        <xdr:cNvPr id="134" name="Imagem 135" descr=""/>
        <xdr:cNvPicPr/>
      </xdr:nvPicPr>
      <xdr:blipFill>
        <a:blip r:embed="rId135"/>
        <a:stretch/>
      </xdr:blipFill>
      <xdr:spPr>
        <a:xfrm>
          <a:off x="13149000" y="312624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18000</xdr:colOff>
      <xdr:row>23</xdr:row>
      <xdr:rowOff>119160</xdr:rowOff>
    </xdr:from>
    <xdr:to>
      <xdr:col>18</xdr:col>
      <xdr:colOff>272520</xdr:colOff>
      <xdr:row>24</xdr:row>
      <xdr:rowOff>86040</xdr:rowOff>
    </xdr:to>
    <xdr:pic>
      <xdr:nvPicPr>
        <xdr:cNvPr id="135" name="Imagem 136" descr=""/>
        <xdr:cNvPicPr/>
      </xdr:nvPicPr>
      <xdr:blipFill>
        <a:blip r:embed="rId136"/>
        <a:stretch/>
      </xdr:blipFill>
      <xdr:spPr>
        <a:xfrm>
          <a:off x="11359080" y="477432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18000</xdr:colOff>
      <xdr:row>25</xdr:row>
      <xdr:rowOff>133560</xdr:rowOff>
    </xdr:from>
    <xdr:to>
      <xdr:col>24</xdr:col>
      <xdr:colOff>272520</xdr:colOff>
      <xdr:row>26</xdr:row>
      <xdr:rowOff>100080</xdr:rowOff>
    </xdr:to>
    <xdr:pic>
      <xdr:nvPicPr>
        <xdr:cNvPr id="136" name="Imagem 137" descr=""/>
        <xdr:cNvPicPr/>
      </xdr:nvPicPr>
      <xdr:blipFill>
        <a:blip r:embed="rId137"/>
        <a:stretch/>
      </xdr:blipFill>
      <xdr:spPr>
        <a:xfrm>
          <a:off x="13151880" y="516960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18000</xdr:colOff>
      <xdr:row>26</xdr:row>
      <xdr:rowOff>153000</xdr:rowOff>
    </xdr:from>
    <xdr:to>
      <xdr:col>24</xdr:col>
      <xdr:colOff>272520</xdr:colOff>
      <xdr:row>27</xdr:row>
      <xdr:rowOff>129600</xdr:rowOff>
    </xdr:to>
    <xdr:pic>
      <xdr:nvPicPr>
        <xdr:cNvPr id="137" name="Imagem 138" descr=""/>
        <xdr:cNvPicPr/>
      </xdr:nvPicPr>
      <xdr:blipFill>
        <a:blip r:embed="rId138"/>
        <a:stretch/>
      </xdr:blipFill>
      <xdr:spPr>
        <a:xfrm>
          <a:off x="13151880" y="5379840"/>
          <a:ext cx="254520" cy="167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13320</xdr:colOff>
      <xdr:row>40</xdr:row>
      <xdr:rowOff>172080</xdr:rowOff>
    </xdr:from>
    <xdr:to>
      <xdr:col>5</xdr:col>
      <xdr:colOff>267840</xdr:colOff>
      <xdr:row>41</xdr:row>
      <xdr:rowOff>138960</xdr:rowOff>
    </xdr:to>
    <xdr:pic>
      <xdr:nvPicPr>
        <xdr:cNvPr id="138" name="Imagem 139" descr=""/>
        <xdr:cNvPicPr/>
      </xdr:nvPicPr>
      <xdr:blipFill>
        <a:blip r:embed="rId139"/>
        <a:stretch/>
      </xdr:blipFill>
      <xdr:spPr>
        <a:xfrm>
          <a:off x="3728880" y="806580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13320</xdr:colOff>
      <xdr:row>41</xdr:row>
      <xdr:rowOff>174600</xdr:rowOff>
    </xdr:from>
    <xdr:to>
      <xdr:col>11</xdr:col>
      <xdr:colOff>267840</xdr:colOff>
      <xdr:row>42</xdr:row>
      <xdr:rowOff>141480</xdr:rowOff>
    </xdr:to>
    <xdr:pic>
      <xdr:nvPicPr>
        <xdr:cNvPr id="139" name="Imagem 140" descr=""/>
        <xdr:cNvPicPr/>
      </xdr:nvPicPr>
      <xdr:blipFill>
        <a:blip r:embed="rId140"/>
        <a:stretch/>
      </xdr:blipFill>
      <xdr:spPr>
        <a:xfrm>
          <a:off x="5544000" y="825876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19800</xdr:colOff>
      <xdr:row>45</xdr:row>
      <xdr:rowOff>19440</xdr:rowOff>
    </xdr:from>
    <xdr:to>
      <xdr:col>11</xdr:col>
      <xdr:colOff>274320</xdr:colOff>
      <xdr:row>45</xdr:row>
      <xdr:rowOff>176760</xdr:rowOff>
    </xdr:to>
    <xdr:pic>
      <xdr:nvPicPr>
        <xdr:cNvPr id="140" name="Imagem 141" descr=""/>
        <xdr:cNvPicPr/>
      </xdr:nvPicPr>
      <xdr:blipFill>
        <a:blip r:embed="rId141"/>
        <a:stretch/>
      </xdr:blipFill>
      <xdr:spPr>
        <a:xfrm>
          <a:off x="5550480" y="886572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13320</xdr:colOff>
      <xdr:row>53</xdr:row>
      <xdr:rowOff>136800</xdr:rowOff>
    </xdr:from>
    <xdr:to>
      <xdr:col>5</xdr:col>
      <xdr:colOff>267840</xdr:colOff>
      <xdr:row>54</xdr:row>
      <xdr:rowOff>103680</xdr:rowOff>
    </xdr:to>
    <xdr:pic>
      <xdr:nvPicPr>
        <xdr:cNvPr id="141" name="Imagem 142" descr=""/>
        <xdr:cNvPicPr/>
      </xdr:nvPicPr>
      <xdr:blipFill>
        <a:blip r:embed="rId142"/>
        <a:stretch/>
      </xdr:blipFill>
      <xdr:spPr>
        <a:xfrm>
          <a:off x="3728880" y="10506960"/>
          <a:ext cx="254520" cy="1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19800</xdr:colOff>
      <xdr:row>48</xdr:row>
      <xdr:rowOff>99360</xdr:rowOff>
    </xdr:from>
    <xdr:to>
      <xdr:col>11</xdr:col>
      <xdr:colOff>274320</xdr:colOff>
      <xdr:row>49</xdr:row>
      <xdr:rowOff>85320</xdr:rowOff>
    </xdr:to>
    <xdr:pic>
      <xdr:nvPicPr>
        <xdr:cNvPr id="142" name="Imagem 143" descr=""/>
        <xdr:cNvPicPr/>
      </xdr:nvPicPr>
      <xdr:blipFill>
        <a:blip r:embed="rId143"/>
        <a:stretch/>
      </xdr:blipFill>
      <xdr:spPr>
        <a:xfrm>
          <a:off x="5550480" y="9516960"/>
          <a:ext cx="254520" cy="176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13320</xdr:colOff>
      <xdr:row>51</xdr:row>
      <xdr:rowOff>124200</xdr:rowOff>
    </xdr:from>
    <xdr:to>
      <xdr:col>11</xdr:col>
      <xdr:colOff>267840</xdr:colOff>
      <xdr:row>52</xdr:row>
      <xdr:rowOff>91080</xdr:rowOff>
    </xdr:to>
    <xdr:pic>
      <xdr:nvPicPr>
        <xdr:cNvPr id="143" name="Imagem 144" descr=""/>
        <xdr:cNvPicPr/>
      </xdr:nvPicPr>
      <xdr:blipFill>
        <a:blip r:embed="rId144"/>
        <a:stretch/>
      </xdr:blipFill>
      <xdr:spPr>
        <a:xfrm>
          <a:off x="5544000" y="10113480"/>
          <a:ext cx="254520" cy="157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329400</xdr:colOff>
      <xdr:row>3</xdr:row>
      <xdr:rowOff>101520</xdr:rowOff>
    </xdr:from>
    <xdr:to>
      <xdr:col>18</xdr:col>
      <xdr:colOff>1231560</xdr:colOff>
      <xdr:row>13</xdr:row>
      <xdr:rowOff>100800</xdr:rowOff>
    </xdr:to>
    <xdr:pic>
      <xdr:nvPicPr>
        <xdr:cNvPr id="144" name="Imagem 1" descr=""/>
        <xdr:cNvPicPr/>
      </xdr:nvPicPr>
      <xdr:blipFill>
        <a:blip r:embed="rId1"/>
        <a:stretch/>
      </xdr:blipFill>
      <xdr:spPr>
        <a:xfrm>
          <a:off x="12822480" y="1476360"/>
          <a:ext cx="902160" cy="190404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Users/Usu&#225;rio/Downloads/TABELA-DA-COPA-2026-PARA-IMPRESSAO-2.0%20-%20Copia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ções"/>
      <sheetName val="Repescagem"/>
      <sheetName val="Grupos"/>
      <sheetName val="Mata-Mata"/>
    </sheetNames>
    <sheetDataSet>
      <sheetData sheetId="0"/>
      <sheetData sheetId="1">
        <row r="4">
          <cell r="D4" t="str">
            <v>Bósnia e Herzegovina</v>
          </cell>
        </row>
        <row r="5">
          <cell r="D5" t="str">
            <v>Suécia</v>
          </cell>
        </row>
        <row r="6">
          <cell r="D6" t="str">
            <v>Turquia</v>
          </cell>
        </row>
        <row r="7">
          <cell r="D7" t="str">
            <v>República Tcheca</v>
          </cell>
        </row>
        <row r="8">
          <cell r="D8" t="str">
            <v>RD do Congo</v>
          </cell>
        </row>
        <row r="9">
          <cell r="D9" t="str">
            <v>Iraque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4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W52" activeCellId="0" sqref="W5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4"/>
    <col collapsed="false" customWidth="true" hidden="false" outlineLevel="0" max="3" min="3" style="1" width="19.15"/>
    <col collapsed="false" customWidth="true" hidden="false" outlineLevel="0" max="4" min="4" style="1" width="17.57"/>
    <col collapsed="false" customWidth="true" hidden="false" outlineLevel="0" max="5" min="5" style="1" width="0.57"/>
    <col collapsed="false" customWidth="true" hidden="false" outlineLevel="0" max="6" min="6" style="1" width="4.43"/>
    <col collapsed="false" customWidth="true" hidden="false" outlineLevel="0" max="7" min="7" style="1" width="0.57"/>
    <col collapsed="false" customWidth="true" hidden="false" outlineLevel="0" max="10" min="8" style="1" width="5.71"/>
    <col collapsed="false" customWidth="true" hidden="false" outlineLevel="0" max="11" min="11" style="1" width="0.57"/>
    <col collapsed="false" customWidth="true" hidden="false" outlineLevel="0" max="12" min="12" style="1" width="4.43"/>
    <col collapsed="false" customWidth="true" hidden="false" outlineLevel="0" max="13" min="13" style="1" width="0.72"/>
    <col collapsed="false" customWidth="true" hidden="false" outlineLevel="0" max="14" min="14" style="1" width="17.57"/>
    <col collapsed="false" customWidth="true" hidden="false" outlineLevel="0" max="16" min="16" style="1" width="19.15"/>
    <col collapsed="false" customWidth="true" hidden="false" outlineLevel="0" max="17" min="17" style="1" width="21.43"/>
    <col collapsed="false" customWidth="true" hidden="false" outlineLevel="0" max="18" min="18" style="1" width="0.72"/>
    <col collapsed="false" customWidth="true" hidden="false" outlineLevel="0" max="19" min="19" style="1" width="4.43"/>
    <col collapsed="false" customWidth="true" hidden="false" outlineLevel="0" max="20" min="20" style="1" width="0.43"/>
    <col collapsed="false" customWidth="true" hidden="false" outlineLevel="0" max="23" min="21" style="1" width="5.71"/>
    <col collapsed="false" customWidth="true" hidden="false" outlineLevel="0" max="24" min="24" style="1" width="0.43"/>
    <col collapsed="false" customWidth="true" hidden="false" outlineLevel="0" max="25" min="25" style="1" width="4.43"/>
    <col collapsed="false" customWidth="true" hidden="false" outlineLevel="0" max="26" min="26" style="1" width="0.43"/>
    <col collapsed="false" customWidth="true" hidden="false" outlineLevel="0" max="27" min="27" style="1" width="21.43"/>
  </cols>
  <sheetData>
    <row r="1" customFormat="false" ht="15" hidden="false" customHeight="false" outlineLevel="0" collapsed="false">
      <c r="A1" s="2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5"/>
    </row>
    <row r="2" customFormat="false" ht="36.55" hidden="false" customHeight="false" outlineLevel="0" collapsed="false">
      <c r="A2" s="2"/>
      <c r="B2" s="2"/>
      <c r="C2" s="6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2"/>
      <c r="AC2" s="2"/>
      <c r="AD2" s="5"/>
    </row>
    <row r="3" customFormat="false" ht="15" hidden="false" customHeight="false" outlineLevel="0" collapsed="false">
      <c r="A3" s="2"/>
      <c r="B3" s="2"/>
      <c r="C3" s="7"/>
      <c r="D3" s="8"/>
      <c r="E3" s="7"/>
      <c r="F3" s="7"/>
      <c r="G3" s="7"/>
      <c r="H3" s="7"/>
      <c r="I3" s="7"/>
      <c r="J3" s="7"/>
      <c r="K3" s="7"/>
      <c r="L3" s="7"/>
      <c r="M3" s="7"/>
      <c r="N3" s="9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2"/>
      <c r="AC3" s="2"/>
      <c r="AD3" s="5"/>
    </row>
    <row r="4" customFormat="false" ht="15" hidden="false" customHeight="false" outlineLevel="0" collapsed="false">
      <c r="A4" s="2"/>
      <c r="B4" s="2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5"/>
    </row>
    <row r="5" customFormat="false" ht="15" hidden="false" customHeight="false" outlineLevel="0" collapsed="false">
      <c r="A5" s="2"/>
      <c r="B5" s="2"/>
      <c r="C5" s="11" t="s">
        <v>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2"/>
      <c r="P5" s="11" t="s">
        <v>2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2"/>
      <c r="AC5" s="2"/>
      <c r="AD5" s="5"/>
    </row>
    <row r="6" customFormat="false" ht="15" hidden="false" customHeight="false" outlineLevel="0" collapsed="false">
      <c r="A6" s="2"/>
      <c r="B6" s="2"/>
      <c r="C6" s="12" t="s">
        <v>3</v>
      </c>
      <c r="D6" s="13" t="s">
        <v>4</v>
      </c>
      <c r="E6" s="14"/>
      <c r="F6" s="15"/>
      <c r="G6" s="14"/>
      <c r="H6" s="16" t="n">
        <v>1</v>
      </c>
      <c r="I6" s="17" t="s">
        <v>5</v>
      </c>
      <c r="J6" s="16" t="n">
        <v>1</v>
      </c>
      <c r="K6" s="14"/>
      <c r="L6" s="15"/>
      <c r="M6" s="14"/>
      <c r="N6" s="18" t="s">
        <v>6</v>
      </c>
      <c r="O6" s="2"/>
      <c r="P6" s="19" t="s">
        <v>7</v>
      </c>
      <c r="Q6" s="20" t="s">
        <v>8</v>
      </c>
      <c r="R6" s="21"/>
      <c r="S6" s="22"/>
      <c r="T6" s="21"/>
      <c r="U6" s="23" t="n">
        <v>3</v>
      </c>
      <c r="V6" s="24" t="s">
        <v>5</v>
      </c>
      <c r="W6" s="23" t="n">
        <v>0</v>
      </c>
      <c r="X6" s="21"/>
      <c r="Y6" s="22"/>
      <c r="Z6" s="21"/>
      <c r="AA6" s="25" t="str">
        <f aca="false">IF([1]Repescagem!D4="","Europa 1",[1]Repescagem!D4)</f>
        <v>Bósnia e Herzegovina</v>
      </c>
      <c r="AB6" s="2"/>
      <c r="AC6" s="2"/>
      <c r="AD6" s="5"/>
    </row>
    <row r="7" customFormat="false" ht="15" hidden="false" customHeight="false" outlineLevel="0" collapsed="false">
      <c r="A7" s="2"/>
      <c r="B7" s="2"/>
      <c r="C7" s="26" t="s">
        <v>9</v>
      </c>
      <c r="D7" s="27" t="s">
        <v>10</v>
      </c>
      <c r="E7" s="5"/>
      <c r="F7" s="28"/>
      <c r="G7" s="5"/>
      <c r="H7" s="29" t="n">
        <v>2</v>
      </c>
      <c r="I7" s="30" t="s">
        <v>5</v>
      </c>
      <c r="J7" s="29" t="n">
        <v>2</v>
      </c>
      <c r="K7" s="5"/>
      <c r="L7" s="28"/>
      <c r="M7" s="5"/>
      <c r="N7" s="31" t="str">
        <f aca="false">IF([1]Repescagem!D7="","Europa 4",[1]Repescagem!D7)</f>
        <v>República Tcheca</v>
      </c>
      <c r="O7" s="2"/>
      <c r="P7" s="26" t="s">
        <v>11</v>
      </c>
      <c r="Q7" s="27" t="s">
        <v>12</v>
      </c>
      <c r="R7" s="5"/>
      <c r="S7" s="28"/>
      <c r="T7" s="5"/>
      <c r="U7" s="29" t="n">
        <v>0</v>
      </c>
      <c r="V7" s="30" t="s">
        <v>5</v>
      </c>
      <c r="W7" s="29" t="n">
        <v>2</v>
      </c>
      <c r="X7" s="5"/>
      <c r="Y7" s="28"/>
      <c r="Z7" s="5"/>
      <c r="AA7" s="31" t="s">
        <v>13</v>
      </c>
      <c r="AB7" s="2"/>
      <c r="AC7" s="2"/>
      <c r="AD7" s="5"/>
    </row>
    <row r="8" customFormat="false" ht="15" hidden="false" customHeight="false" outlineLevel="0" collapsed="false">
      <c r="A8" s="2"/>
      <c r="B8" s="2"/>
      <c r="C8" s="26" t="s">
        <v>14</v>
      </c>
      <c r="D8" s="27" t="str">
        <f aca="false">IF([1]Repescagem!D7="","Europa 4",[1]Repescagem!D7)</f>
        <v>República Tcheca</v>
      </c>
      <c r="E8" s="5"/>
      <c r="F8" s="28"/>
      <c r="G8" s="5"/>
      <c r="H8" s="29" t="n">
        <v>1</v>
      </c>
      <c r="I8" s="30" t="s">
        <v>5</v>
      </c>
      <c r="J8" s="29" t="n">
        <v>0</v>
      </c>
      <c r="K8" s="5"/>
      <c r="L8" s="28"/>
      <c r="M8" s="5"/>
      <c r="N8" s="31" t="s">
        <v>6</v>
      </c>
      <c r="O8" s="2"/>
      <c r="P8" s="26" t="s">
        <v>15</v>
      </c>
      <c r="Q8" s="27" t="s">
        <v>13</v>
      </c>
      <c r="R8" s="5"/>
      <c r="S8" s="28"/>
      <c r="T8" s="5"/>
      <c r="U8" s="29" t="n">
        <v>2</v>
      </c>
      <c r="V8" s="30" t="s">
        <v>5</v>
      </c>
      <c r="W8" s="29" t="n">
        <v>0</v>
      </c>
      <c r="X8" s="5"/>
      <c r="Y8" s="28"/>
      <c r="Z8" s="5"/>
      <c r="AA8" s="31" t="str">
        <f aca="false">IF([1]Repescagem!D4="","Europa 1",[1]Repescagem!D4)</f>
        <v>Bósnia e Herzegovina</v>
      </c>
      <c r="AB8" s="2"/>
      <c r="AC8" s="2"/>
      <c r="AD8" s="5"/>
    </row>
    <row r="9" customFormat="false" ht="15" hidden="false" customHeight="false" outlineLevel="0" collapsed="false">
      <c r="A9" s="2"/>
      <c r="B9" s="2"/>
      <c r="C9" s="32" t="s">
        <v>16</v>
      </c>
      <c r="D9" s="33" t="s">
        <v>4</v>
      </c>
      <c r="E9" s="34"/>
      <c r="F9" s="35"/>
      <c r="G9" s="34"/>
      <c r="H9" s="36" t="n">
        <v>2</v>
      </c>
      <c r="I9" s="37" t="s">
        <v>5</v>
      </c>
      <c r="J9" s="36" t="n">
        <v>1</v>
      </c>
      <c r="K9" s="34"/>
      <c r="L9" s="35"/>
      <c r="M9" s="34"/>
      <c r="N9" s="38" t="s">
        <v>10</v>
      </c>
      <c r="O9" s="2"/>
      <c r="P9" s="32" t="s">
        <v>17</v>
      </c>
      <c r="Q9" s="33" t="s">
        <v>8</v>
      </c>
      <c r="R9" s="34"/>
      <c r="S9" s="35"/>
      <c r="T9" s="34"/>
      <c r="U9" s="36" t="n">
        <v>3</v>
      </c>
      <c r="V9" s="37" t="s">
        <v>5</v>
      </c>
      <c r="W9" s="36" t="n">
        <v>1</v>
      </c>
      <c r="X9" s="34"/>
      <c r="Y9" s="35"/>
      <c r="Z9" s="34"/>
      <c r="AA9" s="38" t="s">
        <v>12</v>
      </c>
      <c r="AB9" s="2"/>
      <c r="AC9" s="2"/>
      <c r="AD9" s="5"/>
    </row>
    <row r="10" customFormat="false" ht="15" hidden="false" customHeight="false" outlineLevel="0" collapsed="false">
      <c r="A10" s="2"/>
      <c r="B10" s="2"/>
      <c r="C10" s="32" t="s">
        <v>18</v>
      </c>
      <c r="D10" s="33" t="str">
        <f aca="false">IF([1]Repescagem!D7="","Europa 4",[1]Repescagem!D7)</f>
        <v>República Tcheca</v>
      </c>
      <c r="E10" s="34"/>
      <c r="F10" s="35"/>
      <c r="G10" s="34"/>
      <c r="H10" s="36" t="n">
        <v>1</v>
      </c>
      <c r="I10" s="37" t="s">
        <v>5</v>
      </c>
      <c r="J10" s="36" t="n">
        <v>0</v>
      </c>
      <c r="K10" s="34"/>
      <c r="L10" s="35"/>
      <c r="M10" s="34"/>
      <c r="N10" s="38" t="s">
        <v>4</v>
      </c>
      <c r="O10" s="2"/>
      <c r="P10" s="32" t="s">
        <v>19</v>
      </c>
      <c r="Q10" s="33" t="s">
        <v>13</v>
      </c>
      <c r="R10" s="34"/>
      <c r="S10" s="35"/>
      <c r="T10" s="34"/>
      <c r="U10" s="36" t="n">
        <v>0</v>
      </c>
      <c r="V10" s="37" t="s">
        <v>5</v>
      </c>
      <c r="W10" s="36" t="n">
        <v>1</v>
      </c>
      <c r="X10" s="34"/>
      <c r="Y10" s="35"/>
      <c r="Z10" s="34"/>
      <c r="AA10" s="38" t="s">
        <v>8</v>
      </c>
      <c r="AB10" s="2"/>
      <c r="AC10" s="2"/>
      <c r="AD10" s="5"/>
    </row>
    <row r="11" customFormat="false" ht="15" hidden="false" customHeight="false" outlineLevel="0" collapsed="false">
      <c r="A11" s="2"/>
      <c r="B11" s="2"/>
      <c r="C11" s="39" t="s">
        <v>18</v>
      </c>
      <c r="D11" s="40" t="s">
        <v>6</v>
      </c>
      <c r="E11" s="41"/>
      <c r="F11" s="42"/>
      <c r="G11" s="41"/>
      <c r="H11" s="43" t="n">
        <v>1</v>
      </c>
      <c r="I11" s="44" t="s">
        <v>5</v>
      </c>
      <c r="J11" s="43" t="n">
        <v>3</v>
      </c>
      <c r="K11" s="41"/>
      <c r="L11" s="42"/>
      <c r="M11" s="41"/>
      <c r="N11" s="45" t="s">
        <v>10</v>
      </c>
      <c r="O11" s="2"/>
      <c r="P11" s="39" t="s">
        <v>19</v>
      </c>
      <c r="Q11" s="40" t="str">
        <f aca="false">IF([1]Repescagem!D4="","Europa 1",[1]Repescagem!D4)</f>
        <v>Bósnia e Herzegovina</v>
      </c>
      <c r="R11" s="41"/>
      <c r="S11" s="42"/>
      <c r="T11" s="41"/>
      <c r="U11" s="43" t="n">
        <v>2</v>
      </c>
      <c r="V11" s="44" t="s">
        <v>5</v>
      </c>
      <c r="W11" s="43" t="n">
        <v>2</v>
      </c>
      <c r="X11" s="41"/>
      <c r="Y11" s="42"/>
      <c r="Z11" s="41"/>
      <c r="AA11" s="45" t="s">
        <v>12</v>
      </c>
      <c r="AB11" s="2"/>
      <c r="AC11" s="2"/>
      <c r="AD11" s="5"/>
    </row>
    <row r="12" customFormat="false" ht="15" hidden="false" customHeight="false" outlineLevel="0" collapsed="false">
      <c r="A12" s="2"/>
      <c r="B12" s="2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2"/>
      <c r="AC12" s="2"/>
      <c r="AD12" s="5"/>
    </row>
    <row r="13" customFormat="false" ht="15" hidden="false" customHeight="false" outlineLevel="0" collapsed="false">
      <c r="A13" s="2"/>
      <c r="B13" s="2"/>
      <c r="C13" s="11" t="s">
        <v>20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2"/>
      <c r="P13" s="11" t="s">
        <v>21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2"/>
      <c r="AC13" s="2"/>
      <c r="AD13" s="5"/>
    </row>
    <row r="14" customFormat="false" ht="15" hidden="false" customHeight="false" outlineLevel="0" collapsed="false">
      <c r="A14" s="2"/>
      <c r="B14" s="2"/>
      <c r="C14" s="12" t="s">
        <v>22</v>
      </c>
      <c r="D14" s="13" t="s">
        <v>23</v>
      </c>
      <c r="E14" s="14"/>
      <c r="F14" s="15"/>
      <c r="G14" s="14"/>
      <c r="H14" s="16" t="n">
        <v>2</v>
      </c>
      <c r="I14" s="17" t="s">
        <v>5</v>
      </c>
      <c r="J14" s="16" t="n">
        <v>1</v>
      </c>
      <c r="K14" s="14"/>
      <c r="L14" s="15"/>
      <c r="M14" s="14"/>
      <c r="N14" s="18" t="s">
        <v>24</v>
      </c>
      <c r="O14" s="2"/>
      <c r="P14" s="19" t="s">
        <v>25</v>
      </c>
      <c r="Q14" s="20" t="s">
        <v>26</v>
      </c>
      <c r="R14" s="21"/>
      <c r="S14" s="22"/>
      <c r="T14" s="21"/>
      <c r="U14" s="23" t="n">
        <v>3</v>
      </c>
      <c r="V14" s="24" t="s">
        <v>5</v>
      </c>
      <c r="W14" s="23" t="n">
        <v>1</v>
      </c>
      <c r="X14" s="21"/>
      <c r="Y14" s="22"/>
      <c r="Z14" s="21"/>
      <c r="AA14" s="25" t="s">
        <v>27</v>
      </c>
      <c r="AB14" s="2"/>
      <c r="AC14" s="2"/>
      <c r="AD14" s="5"/>
    </row>
    <row r="15" customFormat="false" ht="15" hidden="false" customHeight="false" outlineLevel="0" collapsed="false">
      <c r="A15" s="2"/>
      <c r="B15" s="2"/>
      <c r="C15" s="26" t="s">
        <v>28</v>
      </c>
      <c r="D15" s="27" t="s">
        <v>29</v>
      </c>
      <c r="E15" s="5"/>
      <c r="F15" s="28"/>
      <c r="G15" s="5"/>
      <c r="H15" s="29" t="n">
        <v>1</v>
      </c>
      <c r="I15" s="30" t="s">
        <v>5</v>
      </c>
      <c r="J15" s="29" t="n">
        <v>2</v>
      </c>
      <c r="K15" s="5"/>
      <c r="L15" s="28"/>
      <c r="M15" s="5"/>
      <c r="N15" s="31" t="s">
        <v>30</v>
      </c>
      <c r="O15" s="2"/>
      <c r="P15" s="26" t="s">
        <v>31</v>
      </c>
      <c r="Q15" s="27" t="s">
        <v>32</v>
      </c>
      <c r="R15" s="5"/>
      <c r="S15" s="28"/>
      <c r="T15" s="5"/>
      <c r="U15" s="29" t="n">
        <v>1</v>
      </c>
      <c r="V15" s="30" t="s">
        <v>5</v>
      </c>
      <c r="W15" s="29" t="n">
        <v>2</v>
      </c>
      <c r="X15" s="5"/>
      <c r="Y15" s="28"/>
      <c r="Z15" s="5"/>
      <c r="AA15" s="31" t="str">
        <f aca="false">IF([1]Repescagem!D6="","Europa 3",[1]Repescagem!D6)</f>
        <v>Turquia</v>
      </c>
      <c r="AB15" s="2"/>
      <c r="AC15" s="2"/>
      <c r="AD15" s="5"/>
    </row>
    <row r="16" customFormat="false" ht="15" hidden="false" customHeight="false" outlineLevel="0" collapsed="false">
      <c r="A16" s="2"/>
      <c r="B16" s="2"/>
      <c r="C16" s="26" t="s">
        <v>33</v>
      </c>
      <c r="D16" s="27" t="s">
        <v>30</v>
      </c>
      <c r="E16" s="5"/>
      <c r="F16" s="28"/>
      <c r="G16" s="5"/>
      <c r="H16" s="29" t="n">
        <v>0</v>
      </c>
      <c r="I16" s="30" t="s">
        <v>5</v>
      </c>
      <c r="J16" s="29" t="n">
        <v>2</v>
      </c>
      <c r="K16" s="5"/>
      <c r="L16" s="28"/>
      <c r="M16" s="5"/>
      <c r="N16" s="31" t="s">
        <v>24</v>
      </c>
      <c r="O16" s="2"/>
      <c r="P16" s="26" t="s">
        <v>34</v>
      </c>
      <c r="Q16" s="27" t="str">
        <f aca="false">IF([1]Repescagem!D6="","Europa 3",[1]Repescagem!D6)</f>
        <v>Turquia</v>
      </c>
      <c r="R16" s="5"/>
      <c r="S16" s="28"/>
      <c r="T16" s="5"/>
      <c r="U16" s="29" t="n">
        <v>0</v>
      </c>
      <c r="V16" s="30" t="s">
        <v>5</v>
      </c>
      <c r="W16" s="29" t="n">
        <v>0</v>
      </c>
      <c r="X16" s="5"/>
      <c r="Y16" s="28"/>
      <c r="Z16" s="5"/>
      <c r="AA16" s="31" t="s">
        <v>27</v>
      </c>
      <c r="AB16" s="2"/>
      <c r="AC16" s="2"/>
      <c r="AD16" s="5"/>
    </row>
    <row r="17" customFormat="false" ht="15" hidden="false" customHeight="false" outlineLevel="0" collapsed="false">
      <c r="A17" s="2"/>
      <c r="B17" s="2"/>
      <c r="C17" s="46" t="s">
        <v>35</v>
      </c>
      <c r="D17" s="47" t="s">
        <v>23</v>
      </c>
      <c r="E17" s="48"/>
      <c r="F17" s="49"/>
      <c r="G17" s="48"/>
      <c r="H17" s="50" t="n">
        <v>5</v>
      </c>
      <c r="I17" s="51" t="s">
        <v>5</v>
      </c>
      <c r="J17" s="50" t="n">
        <v>1</v>
      </c>
      <c r="K17" s="48"/>
      <c r="L17" s="49"/>
      <c r="M17" s="48"/>
      <c r="N17" s="52" t="s">
        <v>29</v>
      </c>
      <c r="O17" s="2"/>
      <c r="P17" s="32" t="s">
        <v>36</v>
      </c>
      <c r="Q17" s="33" t="s">
        <v>26</v>
      </c>
      <c r="R17" s="34"/>
      <c r="S17" s="35"/>
      <c r="T17" s="34"/>
      <c r="U17" s="36" t="n">
        <v>3</v>
      </c>
      <c r="V17" s="37" t="s">
        <v>5</v>
      </c>
      <c r="W17" s="36" t="n">
        <v>2</v>
      </c>
      <c r="X17" s="34"/>
      <c r="Y17" s="35"/>
      <c r="Z17" s="34"/>
      <c r="AA17" s="38" t="s">
        <v>32</v>
      </c>
      <c r="AB17" s="2"/>
      <c r="AC17" s="2"/>
      <c r="AD17" s="5"/>
    </row>
    <row r="18" customFormat="false" ht="15" hidden="false" customHeight="false" outlineLevel="0" collapsed="false">
      <c r="A18" s="2"/>
      <c r="B18" s="2"/>
      <c r="C18" s="46" t="s">
        <v>37</v>
      </c>
      <c r="D18" s="47" t="s">
        <v>30</v>
      </c>
      <c r="E18" s="48"/>
      <c r="F18" s="49"/>
      <c r="G18" s="48"/>
      <c r="H18" s="50" t="n">
        <v>1</v>
      </c>
      <c r="I18" s="51" t="s">
        <v>5</v>
      </c>
      <c r="J18" s="50" t="n">
        <v>2</v>
      </c>
      <c r="K18" s="48"/>
      <c r="L18" s="49"/>
      <c r="M18" s="48"/>
      <c r="N18" s="52" t="s">
        <v>23</v>
      </c>
      <c r="O18" s="2"/>
      <c r="P18" s="32" t="s">
        <v>38</v>
      </c>
      <c r="Q18" s="33" t="str">
        <f aca="false">IF([1]Repescagem!D6="","Europa 3",[1]Repescagem!D6)</f>
        <v>Turquia</v>
      </c>
      <c r="R18" s="34"/>
      <c r="S18" s="35"/>
      <c r="T18" s="34"/>
      <c r="U18" s="36" t="n">
        <v>2</v>
      </c>
      <c r="V18" s="37" t="s">
        <v>5</v>
      </c>
      <c r="W18" s="36" t="n">
        <v>2</v>
      </c>
      <c r="X18" s="34"/>
      <c r="Y18" s="35"/>
      <c r="Z18" s="34"/>
      <c r="AA18" s="38" t="s">
        <v>26</v>
      </c>
      <c r="AB18" s="2"/>
      <c r="AC18" s="2"/>
      <c r="AD18" s="5"/>
    </row>
    <row r="19" customFormat="false" ht="15" hidden="false" customHeight="false" outlineLevel="0" collapsed="false">
      <c r="A19" s="2"/>
      <c r="B19" s="2"/>
      <c r="C19" s="39" t="s">
        <v>37</v>
      </c>
      <c r="D19" s="40" t="s">
        <v>24</v>
      </c>
      <c r="E19" s="41"/>
      <c r="F19" s="42"/>
      <c r="G19" s="41"/>
      <c r="H19" s="43" t="n">
        <v>2</v>
      </c>
      <c r="I19" s="44" t="s">
        <v>5</v>
      </c>
      <c r="J19" s="43" t="n">
        <v>0</v>
      </c>
      <c r="K19" s="41"/>
      <c r="L19" s="42"/>
      <c r="M19" s="41"/>
      <c r="N19" s="45" t="s">
        <v>29</v>
      </c>
      <c r="O19" s="2"/>
      <c r="P19" s="39" t="s">
        <v>38</v>
      </c>
      <c r="Q19" s="40" t="s">
        <v>27</v>
      </c>
      <c r="R19" s="41"/>
      <c r="S19" s="42"/>
      <c r="T19" s="41"/>
      <c r="U19" s="43" t="n">
        <v>2</v>
      </c>
      <c r="V19" s="44" t="s">
        <v>5</v>
      </c>
      <c r="W19" s="43" t="n">
        <v>2</v>
      </c>
      <c r="X19" s="41"/>
      <c r="Y19" s="42"/>
      <c r="Z19" s="41"/>
      <c r="AA19" s="45" t="s">
        <v>32</v>
      </c>
      <c r="AB19" s="2"/>
      <c r="AC19" s="2"/>
      <c r="AD19" s="5"/>
    </row>
    <row r="20" customFormat="false" ht="15" hidden="false" customHeight="false" outlineLevel="0" collapsed="false">
      <c r="A20" s="2"/>
      <c r="B20" s="2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2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2"/>
      <c r="AC20" s="2"/>
      <c r="AD20" s="5"/>
    </row>
    <row r="21" customFormat="false" ht="15" hidden="false" customHeight="false" outlineLevel="0" collapsed="false">
      <c r="A21" s="2"/>
      <c r="B21" s="2"/>
      <c r="C21" s="11" t="s">
        <v>39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2"/>
      <c r="P21" s="11" t="s">
        <v>40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2"/>
      <c r="AC21" s="2"/>
      <c r="AD21" s="5"/>
    </row>
    <row r="22" customFormat="false" ht="15" hidden="false" customHeight="false" outlineLevel="0" collapsed="false">
      <c r="A22" s="2"/>
      <c r="B22" s="2"/>
      <c r="C22" s="54" t="s">
        <v>41</v>
      </c>
      <c r="D22" s="55" t="s">
        <v>42</v>
      </c>
      <c r="E22" s="56"/>
      <c r="F22" s="57"/>
      <c r="G22" s="56"/>
      <c r="H22" s="58" t="n">
        <v>2</v>
      </c>
      <c r="I22" s="59" t="s">
        <v>5</v>
      </c>
      <c r="J22" s="58" t="n">
        <v>0</v>
      </c>
      <c r="K22" s="56"/>
      <c r="L22" s="57"/>
      <c r="M22" s="56"/>
      <c r="N22" s="60" t="s">
        <v>43</v>
      </c>
      <c r="O22" s="2"/>
      <c r="P22" s="54" t="s">
        <v>44</v>
      </c>
      <c r="Q22" s="55" t="s">
        <v>45</v>
      </c>
      <c r="R22" s="56"/>
      <c r="S22" s="57"/>
      <c r="T22" s="56"/>
      <c r="U22" s="58" t="n">
        <v>1</v>
      </c>
      <c r="V22" s="59" t="s">
        <v>5</v>
      </c>
      <c r="W22" s="58" t="n">
        <v>2</v>
      </c>
      <c r="X22" s="56"/>
      <c r="Y22" s="57"/>
      <c r="Z22" s="56"/>
      <c r="AA22" s="60" t="s">
        <v>46</v>
      </c>
      <c r="AB22" s="2"/>
      <c r="AC22" s="2"/>
      <c r="AD22" s="5"/>
    </row>
    <row r="23" customFormat="false" ht="15" hidden="false" customHeight="false" outlineLevel="0" collapsed="false">
      <c r="A23" s="2"/>
      <c r="B23" s="2"/>
      <c r="C23" s="26" t="s">
        <v>47</v>
      </c>
      <c r="D23" s="27" t="s">
        <v>48</v>
      </c>
      <c r="E23" s="5"/>
      <c r="F23" s="28"/>
      <c r="G23" s="5"/>
      <c r="H23" s="29" t="n">
        <v>1</v>
      </c>
      <c r="I23" s="30" t="s">
        <v>5</v>
      </c>
      <c r="J23" s="29" t="n">
        <v>1</v>
      </c>
      <c r="K23" s="5"/>
      <c r="L23" s="28"/>
      <c r="M23" s="5"/>
      <c r="N23" s="31" t="s">
        <v>49</v>
      </c>
      <c r="O23" s="2"/>
      <c r="P23" s="26" t="s">
        <v>50</v>
      </c>
      <c r="Q23" s="27" t="str">
        <f aca="false">IF([1]Repescagem!D5="","Europa 2",[1]Repescagem!D5)</f>
        <v>Suécia</v>
      </c>
      <c r="R23" s="5"/>
      <c r="S23" s="28"/>
      <c r="T23" s="5"/>
      <c r="U23" s="29" t="n">
        <v>2</v>
      </c>
      <c r="V23" s="30" t="s">
        <v>5</v>
      </c>
      <c r="W23" s="29" t="n">
        <v>0</v>
      </c>
      <c r="X23" s="5"/>
      <c r="Y23" s="28"/>
      <c r="Z23" s="5"/>
      <c r="AA23" s="31" t="s">
        <v>51</v>
      </c>
      <c r="AB23" s="2"/>
      <c r="AC23" s="2"/>
      <c r="AD23" s="5"/>
    </row>
    <row r="24" customFormat="false" ht="15" hidden="false" customHeight="false" outlineLevel="0" collapsed="false">
      <c r="A24" s="2"/>
      <c r="B24" s="2"/>
      <c r="C24" s="26" t="s">
        <v>52</v>
      </c>
      <c r="D24" s="27" t="s">
        <v>42</v>
      </c>
      <c r="E24" s="5"/>
      <c r="F24" s="28"/>
      <c r="G24" s="5"/>
      <c r="H24" s="29" t="n">
        <v>2</v>
      </c>
      <c r="I24" s="30" t="s">
        <v>5</v>
      </c>
      <c r="J24" s="29" t="n">
        <v>2</v>
      </c>
      <c r="K24" s="5"/>
      <c r="L24" s="28"/>
      <c r="M24" s="5"/>
      <c r="N24" s="31" t="s">
        <v>48</v>
      </c>
      <c r="O24" s="2"/>
      <c r="P24" s="26" t="s">
        <v>53</v>
      </c>
      <c r="Q24" s="27" t="s">
        <v>51</v>
      </c>
      <c r="R24" s="5"/>
      <c r="S24" s="28"/>
      <c r="T24" s="5"/>
      <c r="U24" s="29" t="n">
        <v>1</v>
      </c>
      <c r="V24" s="30" t="s">
        <v>5</v>
      </c>
      <c r="W24" s="29" t="n">
        <v>2</v>
      </c>
      <c r="X24" s="5"/>
      <c r="Y24" s="28"/>
      <c r="Z24" s="5"/>
      <c r="AA24" s="31" t="s">
        <v>46</v>
      </c>
      <c r="AB24" s="2"/>
      <c r="AC24" s="2"/>
      <c r="AD24" s="5"/>
    </row>
    <row r="25" customFormat="false" ht="15" hidden="false" customHeight="false" outlineLevel="0" collapsed="false">
      <c r="A25" s="2"/>
      <c r="B25" s="2"/>
      <c r="C25" s="26" t="s">
        <v>54</v>
      </c>
      <c r="D25" s="27" t="s">
        <v>49</v>
      </c>
      <c r="E25" s="5"/>
      <c r="F25" s="28"/>
      <c r="G25" s="5"/>
      <c r="H25" s="29" t="n">
        <v>5</v>
      </c>
      <c r="I25" s="30" t="s">
        <v>5</v>
      </c>
      <c r="J25" s="29" t="n">
        <v>2</v>
      </c>
      <c r="K25" s="5"/>
      <c r="L25" s="28"/>
      <c r="M25" s="5"/>
      <c r="N25" s="31" t="s">
        <v>43</v>
      </c>
      <c r="O25" s="2"/>
      <c r="P25" s="26" t="s">
        <v>55</v>
      </c>
      <c r="Q25" s="27" t="s">
        <v>45</v>
      </c>
      <c r="R25" s="5"/>
      <c r="S25" s="28"/>
      <c r="T25" s="5"/>
      <c r="U25" s="29" t="n">
        <v>2</v>
      </c>
      <c r="V25" s="30" t="s">
        <v>5</v>
      </c>
      <c r="W25" s="29" t="n">
        <v>2</v>
      </c>
      <c r="X25" s="5"/>
      <c r="Y25" s="28"/>
      <c r="Z25" s="5"/>
      <c r="AA25" s="31" t="str">
        <f aca="false">IF([1]Repescagem!D5="","Europa 2",[1]Repescagem!D5)</f>
        <v>Suécia</v>
      </c>
      <c r="AB25" s="2"/>
      <c r="AC25" s="2"/>
      <c r="AD25" s="5"/>
    </row>
    <row r="26" customFormat="false" ht="15" hidden="false" customHeight="false" outlineLevel="0" collapsed="false">
      <c r="A26" s="2"/>
      <c r="B26" s="2"/>
      <c r="C26" s="26" t="s">
        <v>56</v>
      </c>
      <c r="D26" s="27" t="s">
        <v>49</v>
      </c>
      <c r="E26" s="5"/>
      <c r="F26" s="28"/>
      <c r="G26" s="5"/>
      <c r="H26" s="29" t="n">
        <v>1</v>
      </c>
      <c r="I26" s="30" t="s">
        <v>5</v>
      </c>
      <c r="J26" s="29" t="n">
        <v>2</v>
      </c>
      <c r="K26" s="5"/>
      <c r="L26" s="28"/>
      <c r="M26" s="5"/>
      <c r="N26" s="31" t="s">
        <v>42</v>
      </c>
      <c r="O26" s="2"/>
      <c r="P26" s="26" t="s">
        <v>57</v>
      </c>
      <c r="Q26" s="27" t="s">
        <v>46</v>
      </c>
      <c r="R26" s="5"/>
      <c r="S26" s="28"/>
      <c r="T26" s="5"/>
      <c r="U26" s="29" t="n">
        <v>0</v>
      </c>
      <c r="V26" s="30" t="s">
        <v>5</v>
      </c>
      <c r="W26" s="29" t="n">
        <v>0</v>
      </c>
      <c r="X26" s="5"/>
      <c r="Y26" s="28"/>
      <c r="Z26" s="5"/>
      <c r="AA26" s="31" t="str">
        <f aca="false">IF([1]Repescagem!D5="","Europa 2",[1]Repescagem!D5)</f>
        <v>Suécia</v>
      </c>
      <c r="AB26" s="2"/>
      <c r="AC26" s="2"/>
      <c r="AD26" s="5"/>
    </row>
    <row r="27" customFormat="false" ht="15" hidden="false" customHeight="false" outlineLevel="0" collapsed="false">
      <c r="A27" s="2"/>
      <c r="B27" s="2"/>
      <c r="C27" s="39" t="s">
        <v>56</v>
      </c>
      <c r="D27" s="40" t="s">
        <v>43</v>
      </c>
      <c r="E27" s="41"/>
      <c r="F27" s="42"/>
      <c r="G27" s="41"/>
      <c r="H27" s="43" t="n">
        <v>0</v>
      </c>
      <c r="I27" s="44" t="s">
        <v>5</v>
      </c>
      <c r="J27" s="43" t="n">
        <v>3</v>
      </c>
      <c r="K27" s="41"/>
      <c r="L27" s="42"/>
      <c r="M27" s="41"/>
      <c r="N27" s="45" t="s">
        <v>48</v>
      </c>
      <c r="O27" s="2"/>
      <c r="P27" s="39" t="s">
        <v>57</v>
      </c>
      <c r="Q27" s="40" t="s">
        <v>51</v>
      </c>
      <c r="R27" s="41"/>
      <c r="S27" s="42"/>
      <c r="T27" s="41"/>
      <c r="U27" s="43" t="n">
        <v>1</v>
      </c>
      <c r="V27" s="44" t="s">
        <v>5</v>
      </c>
      <c r="W27" s="43" t="n">
        <v>1</v>
      </c>
      <c r="X27" s="41"/>
      <c r="Y27" s="42"/>
      <c r="Z27" s="41"/>
      <c r="AA27" s="45" t="s">
        <v>45</v>
      </c>
      <c r="AB27" s="2"/>
      <c r="AC27" s="2"/>
      <c r="AD27" s="5"/>
    </row>
    <row r="28" customFormat="false" ht="15" hidden="false" customHeight="false" outlineLevel="0" collapsed="false">
      <c r="A28" s="2"/>
      <c r="B28" s="2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2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2"/>
      <c r="AC28" s="2"/>
      <c r="AD28" s="5"/>
    </row>
    <row r="29" customFormat="false" ht="15" hidden="false" customHeight="false" outlineLevel="0" collapsed="false">
      <c r="A29" s="2"/>
      <c r="B29" s="2"/>
      <c r="C29" s="11" t="s">
        <v>58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2"/>
      <c r="P29" s="11" t="s">
        <v>59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2"/>
      <c r="AC29" s="2"/>
      <c r="AD29" s="5"/>
    </row>
    <row r="30" customFormat="false" ht="15" hidden="false" customHeight="false" outlineLevel="0" collapsed="false">
      <c r="A30" s="2"/>
      <c r="B30" s="2"/>
      <c r="C30" s="54" t="s">
        <v>60</v>
      </c>
      <c r="D30" s="55" t="s">
        <v>61</v>
      </c>
      <c r="E30" s="56"/>
      <c r="F30" s="57"/>
      <c r="G30" s="56"/>
      <c r="H30" s="58" t="n">
        <v>1</v>
      </c>
      <c r="I30" s="59" t="s">
        <v>5</v>
      </c>
      <c r="J30" s="58" t="n">
        <v>1</v>
      </c>
      <c r="K30" s="56"/>
      <c r="L30" s="57"/>
      <c r="M30" s="56"/>
      <c r="N30" s="60" t="s">
        <v>62</v>
      </c>
      <c r="O30" s="2"/>
      <c r="P30" s="54" t="s">
        <v>63</v>
      </c>
      <c r="Q30" s="55" t="s">
        <v>64</v>
      </c>
      <c r="R30" s="56"/>
      <c r="S30" s="57"/>
      <c r="T30" s="56"/>
      <c r="U30" s="58" t="n">
        <v>3</v>
      </c>
      <c r="V30" s="59" t="s">
        <v>5</v>
      </c>
      <c r="W30" s="58" t="n">
        <v>1</v>
      </c>
      <c r="X30" s="56"/>
      <c r="Y30" s="57"/>
      <c r="Z30" s="56"/>
      <c r="AA30" s="60" t="s">
        <v>65</v>
      </c>
      <c r="AB30" s="2"/>
      <c r="AC30" s="2"/>
      <c r="AD30" s="5"/>
    </row>
    <row r="31" customFormat="false" ht="15" hidden="false" customHeight="false" outlineLevel="0" collapsed="false">
      <c r="A31" s="2"/>
      <c r="B31" s="2"/>
      <c r="C31" s="26" t="s">
        <v>66</v>
      </c>
      <c r="D31" s="27" t="s">
        <v>67</v>
      </c>
      <c r="E31" s="5"/>
      <c r="F31" s="28"/>
      <c r="G31" s="5"/>
      <c r="H31" s="29" t="n">
        <v>3</v>
      </c>
      <c r="I31" s="30" t="s">
        <v>5</v>
      </c>
      <c r="J31" s="29" t="n">
        <v>1</v>
      </c>
      <c r="K31" s="5"/>
      <c r="L31" s="28"/>
      <c r="M31" s="5"/>
      <c r="N31" s="31" t="s">
        <v>68</v>
      </c>
      <c r="O31" s="2"/>
      <c r="P31" s="26" t="s">
        <v>69</v>
      </c>
      <c r="Q31" s="27" t="s">
        <v>70</v>
      </c>
      <c r="R31" s="5"/>
      <c r="S31" s="28"/>
      <c r="T31" s="5"/>
      <c r="U31" s="29" t="n">
        <v>0</v>
      </c>
      <c r="V31" s="30" t="s">
        <v>5</v>
      </c>
      <c r="W31" s="29" t="n">
        <v>2</v>
      </c>
      <c r="X31" s="5"/>
      <c r="Y31" s="28"/>
      <c r="Z31" s="5"/>
      <c r="AA31" s="31" t="s">
        <v>71</v>
      </c>
      <c r="AB31" s="2"/>
      <c r="AC31" s="2"/>
      <c r="AD31" s="5"/>
    </row>
    <row r="32" customFormat="false" ht="15" hidden="false" customHeight="false" outlineLevel="0" collapsed="false">
      <c r="A32" s="2"/>
      <c r="B32" s="2"/>
      <c r="C32" s="26" t="s">
        <v>72</v>
      </c>
      <c r="D32" s="27" t="s">
        <v>61</v>
      </c>
      <c r="E32" s="5"/>
      <c r="F32" s="28"/>
      <c r="G32" s="5"/>
      <c r="H32" s="29" t="n">
        <v>2</v>
      </c>
      <c r="I32" s="30" t="s">
        <v>5</v>
      </c>
      <c r="J32" s="29" t="n">
        <v>0</v>
      </c>
      <c r="K32" s="5"/>
      <c r="L32" s="28"/>
      <c r="M32" s="5"/>
      <c r="N32" s="31" t="s">
        <v>67</v>
      </c>
      <c r="O32" s="2"/>
      <c r="P32" s="26" t="s">
        <v>73</v>
      </c>
      <c r="Q32" s="27" t="s">
        <v>64</v>
      </c>
      <c r="R32" s="5"/>
      <c r="S32" s="28"/>
      <c r="T32" s="5"/>
      <c r="U32" s="29" t="n">
        <v>3</v>
      </c>
      <c r="V32" s="30" t="s">
        <v>5</v>
      </c>
      <c r="W32" s="29" t="n">
        <v>1</v>
      </c>
      <c r="X32" s="5"/>
      <c r="Y32" s="28"/>
      <c r="Z32" s="5"/>
      <c r="AA32" s="31" t="s">
        <v>70</v>
      </c>
      <c r="AB32" s="2"/>
      <c r="AC32" s="2"/>
      <c r="AD32" s="5"/>
    </row>
    <row r="33" customFormat="false" ht="15" hidden="false" customHeight="false" outlineLevel="0" collapsed="false">
      <c r="A33" s="2"/>
      <c r="B33" s="2"/>
      <c r="C33" s="26" t="s">
        <v>74</v>
      </c>
      <c r="D33" s="27" t="s">
        <v>68</v>
      </c>
      <c r="E33" s="5"/>
      <c r="F33" s="28"/>
      <c r="G33" s="5"/>
      <c r="H33" s="29" t="n">
        <v>1</v>
      </c>
      <c r="I33" s="30" t="s">
        <v>5</v>
      </c>
      <c r="J33" s="29" t="n">
        <v>5</v>
      </c>
      <c r="K33" s="5"/>
      <c r="L33" s="28"/>
      <c r="M33" s="5"/>
      <c r="N33" s="31" t="s">
        <v>62</v>
      </c>
      <c r="O33" s="2"/>
      <c r="P33" s="26" t="s">
        <v>75</v>
      </c>
      <c r="Q33" s="27" t="s">
        <v>71</v>
      </c>
      <c r="R33" s="5"/>
      <c r="S33" s="28"/>
      <c r="T33" s="5"/>
      <c r="U33" s="29" t="n">
        <v>2</v>
      </c>
      <c r="V33" s="30" t="s">
        <v>5</v>
      </c>
      <c r="W33" s="29" t="n">
        <v>0</v>
      </c>
      <c r="X33" s="5"/>
      <c r="Y33" s="28"/>
      <c r="Z33" s="5"/>
      <c r="AA33" s="31" t="s">
        <v>65</v>
      </c>
      <c r="AB33" s="2"/>
      <c r="AC33" s="2"/>
      <c r="AD33" s="5"/>
    </row>
    <row r="34" customFormat="false" ht="15" hidden="false" customHeight="false" outlineLevel="0" collapsed="false">
      <c r="A34" s="2"/>
      <c r="B34" s="2"/>
      <c r="C34" s="26" t="s">
        <v>76</v>
      </c>
      <c r="D34" s="27" t="s">
        <v>62</v>
      </c>
      <c r="E34" s="5"/>
      <c r="F34" s="28"/>
      <c r="G34" s="5"/>
      <c r="H34" s="29" t="n">
        <v>2</v>
      </c>
      <c r="I34" s="30" t="s">
        <v>5</v>
      </c>
      <c r="J34" s="29" t="n">
        <v>2</v>
      </c>
      <c r="K34" s="5"/>
      <c r="L34" s="28"/>
      <c r="M34" s="5"/>
      <c r="N34" s="31" t="s">
        <v>67</v>
      </c>
      <c r="O34" s="2"/>
      <c r="P34" s="26" t="s">
        <v>77</v>
      </c>
      <c r="Q34" s="27" t="s">
        <v>65</v>
      </c>
      <c r="R34" s="5"/>
      <c r="S34" s="28"/>
      <c r="T34" s="5"/>
      <c r="U34" s="29" t="n">
        <v>3</v>
      </c>
      <c r="V34" s="30" t="s">
        <v>5</v>
      </c>
      <c r="W34" s="29" t="n">
        <v>1</v>
      </c>
      <c r="X34" s="5"/>
      <c r="Y34" s="28"/>
      <c r="Z34" s="5"/>
      <c r="AA34" s="31" t="s">
        <v>70</v>
      </c>
      <c r="AB34" s="2"/>
      <c r="AC34" s="2"/>
      <c r="AD34" s="5"/>
    </row>
    <row r="35" customFormat="false" ht="15" hidden="false" customHeight="false" outlineLevel="0" collapsed="false">
      <c r="A35" s="2"/>
      <c r="B35" s="2"/>
      <c r="C35" s="39" t="s">
        <v>76</v>
      </c>
      <c r="D35" s="40" t="s">
        <v>68</v>
      </c>
      <c r="E35" s="41"/>
      <c r="F35" s="42"/>
      <c r="G35" s="41"/>
      <c r="H35" s="43" t="n">
        <v>1</v>
      </c>
      <c r="I35" s="44" t="s">
        <v>5</v>
      </c>
      <c r="J35" s="43" t="n">
        <v>2</v>
      </c>
      <c r="K35" s="41"/>
      <c r="L35" s="42"/>
      <c r="M35" s="41"/>
      <c r="N35" s="45" t="s">
        <v>61</v>
      </c>
      <c r="O35" s="2"/>
      <c r="P35" s="39" t="s">
        <v>77</v>
      </c>
      <c r="Q35" s="40" t="s">
        <v>71</v>
      </c>
      <c r="R35" s="41"/>
      <c r="S35" s="42"/>
      <c r="T35" s="41"/>
      <c r="U35" s="43" t="n">
        <v>1</v>
      </c>
      <c r="V35" s="44" t="s">
        <v>5</v>
      </c>
      <c r="W35" s="43" t="n">
        <v>3</v>
      </c>
      <c r="X35" s="41"/>
      <c r="Y35" s="42"/>
      <c r="Z35" s="41"/>
      <c r="AA35" s="45" t="s">
        <v>64</v>
      </c>
      <c r="AB35" s="2"/>
      <c r="AC35" s="2"/>
      <c r="AD35" s="5"/>
    </row>
    <row r="36" customFormat="false" ht="15" hidden="false" customHeight="false" outlineLevel="0" collapsed="false">
      <c r="A36" s="2"/>
      <c r="B36" s="2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2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2"/>
      <c r="AC36" s="2"/>
      <c r="AD36" s="5"/>
    </row>
    <row r="37" customFormat="false" ht="15" hidden="false" customHeight="false" outlineLevel="0" collapsed="false">
      <c r="A37" s="2"/>
      <c r="B37" s="2"/>
      <c r="C37" s="11" t="s">
        <v>78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2"/>
      <c r="P37" s="11" t="s">
        <v>79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2"/>
      <c r="AC37" s="2"/>
      <c r="AD37" s="5"/>
    </row>
    <row r="38" customFormat="false" ht="15" hidden="false" customHeight="false" outlineLevel="0" collapsed="false">
      <c r="A38" s="2"/>
      <c r="B38" s="2"/>
      <c r="C38" s="54" t="s">
        <v>80</v>
      </c>
      <c r="D38" s="55" t="s">
        <v>81</v>
      </c>
      <c r="E38" s="56"/>
      <c r="F38" s="57"/>
      <c r="G38" s="56"/>
      <c r="H38" s="58" t="n">
        <v>2</v>
      </c>
      <c r="I38" s="59" t="s">
        <v>5</v>
      </c>
      <c r="J38" s="58" t="n">
        <v>1</v>
      </c>
      <c r="K38" s="56"/>
      <c r="L38" s="57"/>
      <c r="M38" s="56"/>
      <c r="N38" s="60" t="s">
        <v>82</v>
      </c>
      <c r="O38" s="2"/>
      <c r="P38" s="54" t="s">
        <v>83</v>
      </c>
      <c r="Q38" s="55" t="s">
        <v>84</v>
      </c>
      <c r="R38" s="56"/>
      <c r="S38" s="57"/>
      <c r="T38" s="56"/>
      <c r="U38" s="58" t="n">
        <v>1</v>
      </c>
      <c r="V38" s="59" t="s">
        <v>5</v>
      </c>
      <c r="W38" s="58" t="n">
        <v>0</v>
      </c>
      <c r="X38" s="56"/>
      <c r="Y38" s="57"/>
      <c r="Z38" s="56"/>
      <c r="AA38" s="60" t="s">
        <v>85</v>
      </c>
      <c r="AB38" s="2"/>
      <c r="AC38" s="2"/>
      <c r="AD38" s="5"/>
    </row>
    <row r="39" customFormat="false" ht="15" hidden="false" customHeight="false" outlineLevel="0" collapsed="false">
      <c r="A39" s="2"/>
      <c r="B39" s="2"/>
      <c r="C39" s="26" t="s">
        <v>86</v>
      </c>
      <c r="D39" s="27" t="str">
        <f aca="false">IF([1]Repescagem!D9="","Intercontinental 2",[1]Repescagem!D9)</f>
        <v>Iraque</v>
      </c>
      <c r="E39" s="5"/>
      <c r="F39" s="28"/>
      <c r="G39" s="5"/>
      <c r="H39" s="29" t="n">
        <v>1</v>
      </c>
      <c r="I39" s="30" t="s">
        <v>5</v>
      </c>
      <c r="J39" s="29" t="n">
        <v>4</v>
      </c>
      <c r="K39" s="5"/>
      <c r="L39" s="28"/>
      <c r="M39" s="5"/>
      <c r="N39" s="31" t="s">
        <v>87</v>
      </c>
      <c r="O39" s="2"/>
      <c r="P39" s="46" t="s">
        <v>88</v>
      </c>
      <c r="Q39" s="47" t="s">
        <v>89</v>
      </c>
      <c r="R39" s="48"/>
      <c r="S39" s="49"/>
      <c r="T39" s="48"/>
      <c r="U39" s="50" t="n">
        <v>2</v>
      </c>
      <c r="V39" s="51" t="s">
        <v>5</v>
      </c>
      <c r="W39" s="50" t="n">
        <v>1</v>
      </c>
      <c r="X39" s="48"/>
      <c r="Y39" s="49"/>
      <c r="Z39" s="48"/>
      <c r="AA39" s="52" t="s">
        <v>90</v>
      </c>
      <c r="AB39" s="2"/>
      <c r="AC39" s="2"/>
      <c r="AD39" s="5"/>
    </row>
    <row r="40" customFormat="false" ht="15" hidden="false" customHeight="false" outlineLevel="0" collapsed="false">
      <c r="A40" s="2"/>
      <c r="B40" s="2"/>
      <c r="C40" s="26" t="s">
        <v>91</v>
      </c>
      <c r="D40" s="27" t="s">
        <v>81</v>
      </c>
      <c r="E40" s="5"/>
      <c r="F40" s="28"/>
      <c r="G40" s="5"/>
      <c r="H40" s="29" t="n">
        <v>5</v>
      </c>
      <c r="I40" s="30" t="s">
        <v>5</v>
      </c>
      <c r="J40" s="29" t="n">
        <v>0</v>
      </c>
      <c r="K40" s="5"/>
      <c r="L40" s="28"/>
      <c r="M40" s="5"/>
      <c r="N40" s="31" t="str">
        <f aca="false">IF([1]Repescagem!D9="","Intercontinental 2",[1]Repescagem!D9)</f>
        <v>Iraque</v>
      </c>
      <c r="O40" s="2"/>
      <c r="P40" s="46" t="s">
        <v>92</v>
      </c>
      <c r="Q40" s="47" t="s">
        <v>89</v>
      </c>
      <c r="R40" s="48"/>
      <c r="S40" s="49"/>
      <c r="T40" s="48"/>
      <c r="U40" s="50" t="n">
        <v>2</v>
      </c>
      <c r="V40" s="51" t="s">
        <v>5</v>
      </c>
      <c r="W40" s="50" t="n">
        <v>0</v>
      </c>
      <c r="X40" s="48"/>
      <c r="Y40" s="49"/>
      <c r="Z40" s="48"/>
      <c r="AA40" s="52" t="s">
        <v>84</v>
      </c>
      <c r="AB40" s="2"/>
      <c r="AC40" s="2"/>
      <c r="AD40" s="5"/>
    </row>
    <row r="41" customFormat="false" ht="15" hidden="false" customHeight="false" outlineLevel="0" collapsed="false">
      <c r="A41" s="2"/>
      <c r="B41" s="2"/>
      <c r="C41" s="26" t="s">
        <v>93</v>
      </c>
      <c r="D41" s="27" t="s">
        <v>87</v>
      </c>
      <c r="E41" s="5"/>
      <c r="F41" s="28"/>
      <c r="G41" s="5"/>
      <c r="H41" s="29" t="n">
        <v>1</v>
      </c>
      <c r="I41" s="30" t="s">
        <v>5</v>
      </c>
      <c r="J41" s="29" t="n">
        <v>1</v>
      </c>
      <c r="K41" s="5"/>
      <c r="L41" s="28"/>
      <c r="M41" s="5"/>
      <c r="N41" s="31" t="s">
        <v>82</v>
      </c>
      <c r="O41" s="2"/>
      <c r="P41" s="26" t="s">
        <v>94</v>
      </c>
      <c r="Q41" s="27" t="s">
        <v>85</v>
      </c>
      <c r="R41" s="5"/>
      <c r="S41" s="28"/>
      <c r="T41" s="5"/>
      <c r="U41" s="29" t="n">
        <v>0</v>
      </c>
      <c r="V41" s="30" t="s">
        <v>5</v>
      </c>
      <c r="W41" s="29" t="n">
        <v>4</v>
      </c>
      <c r="X41" s="5"/>
      <c r="Y41" s="28"/>
      <c r="Z41" s="5"/>
      <c r="AA41" s="31" t="s">
        <v>90</v>
      </c>
      <c r="AB41" s="2"/>
      <c r="AC41" s="2"/>
      <c r="AD41" s="5"/>
    </row>
    <row r="42" customFormat="false" ht="15" hidden="false" customHeight="false" outlineLevel="0" collapsed="false">
      <c r="A42" s="2"/>
      <c r="B42" s="2"/>
      <c r="C42" s="26" t="s">
        <v>95</v>
      </c>
      <c r="D42" s="27" t="s">
        <v>87</v>
      </c>
      <c r="E42" s="5"/>
      <c r="F42" s="28"/>
      <c r="G42" s="5"/>
      <c r="H42" s="29" t="n">
        <v>2</v>
      </c>
      <c r="I42" s="30" t="s">
        <v>5</v>
      </c>
      <c r="J42" s="29" t="n">
        <v>2</v>
      </c>
      <c r="K42" s="5"/>
      <c r="L42" s="28"/>
      <c r="M42" s="5"/>
      <c r="N42" s="31" t="s">
        <v>81</v>
      </c>
      <c r="O42" s="2"/>
      <c r="P42" s="26" t="s">
        <v>96</v>
      </c>
      <c r="Q42" s="27" t="s">
        <v>90</v>
      </c>
      <c r="R42" s="5"/>
      <c r="S42" s="28"/>
      <c r="T42" s="5"/>
      <c r="U42" s="29" t="n">
        <v>0</v>
      </c>
      <c r="V42" s="30" t="s">
        <v>5</v>
      </c>
      <c r="W42" s="29" t="n">
        <v>0</v>
      </c>
      <c r="X42" s="5"/>
      <c r="Y42" s="28"/>
      <c r="Z42" s="5"/>
      <c r="AA42" s="31" t="s">
        <v>84</v>
      </c>
      <c r="AB42" s="2"/>
      <c r="AC42" s="2"/>
      <c r="AD42" s="5"/>
    </row>
    <row r="43" customFormat="false" ht="15" hidden="false" customHeight="false" outlineLevel="0" collapsed="false">
      <c r="A43" s="2"/>
      <c r="B43" s="2"/>
      <c r="C43" s="39" t="s">
        <v>95</v>
      </c>
      <c r="D43" s="40" t="s">
        <v>82</v>
      </c>
      <c r="E43" s="41"/>
      <c r="F43" s="42"/>
      <c r="G43" s="41"/>
      <c r="H43" s="43" t="n">
        <v>2</v>
      </c>
      <c r="I43" s="44" t="s">
        <v>5</v>
      </c>
      <c r="J43" s="43" t="n">
        <v>0</v>
      </c>
      <c r="K43" s="41"/>
      <c r="L43" s="42"/>
      <c r="M43" s="41"/>
      <c r="N43" s="45" t="str">
        <f aca="false">IF([1]Repescagem!D9="","Intercontinental 2",[1]Repescagem!D9)</f>
        <v>Iraque</v>
      </c>
      <c r="O43" s="2"/>
      <c r="P43" s="61" t="s">
        <v>96</v>
      </c>
      <c r="Q43" s="62" t="s">
        <v>85</v>
      </c>
      <c r="R43" s="63"/>
      <c r="S43" s="64"/>
      <c r="T43" s="63"/>
      <c r="U43" s="65" t="n">
        <v>0</v>
      </c>
      <c r="V43" s="66" t="s">
        <v>5</v>
      </c>
      <c r="W43" s="65" t="n">
        <v>3</v>
      </c>
      <c r="X43" s="63"/>
      <c r="Y43" s="64"/>
      <c r="Z43" s="63"/>
      <c r="AA43" s="67" t="s">
        <v>89</v>
      </c>
      <c r="AB43" s="2"/>
      <c r="AC43" s="2"/>
      <c r="AD43" s="5"/>
    </row>
    <row r="44" customFormat="false" ht="15" hidden="false" customHeight="false" outlineLevel="0" collapsed="false">
      <c r="A44" s="2"/>
      <c r="B44" s="2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2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2"/>
      <c r="AC44" s="2"/>
      <c r="AD44" s="5"/>
    </row>
    <row r="45" customFormat="false" ht="15" hidden="false" customHeight="false" outlineLevel="0" collapsed="false">
      <c r="A45" s="2"/>
      <c r="B45" s="2"/>
      <c r="C45" s="11" t="s">
        <v>97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2"/>
      <c r="P45" s="11" t="s">
        <v>98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2"/>
      <c r="AC45" s="2"/>
      <c r="AD45" s="5"/>
    </row>
    <row r="46" customFormat="false" ht="15" hidden="false" customHeight="false" outlineLevel="0" collapsed="false">
      <c r="A46" s="2"/>
      <c r="B46" s="2"/>
      <c r="C46" s="54" t="s">
        <v>99</v>
      </c>
      <c r="D46" s="55" t="s">
        <v>100</v>
      </c>
      <c r="E46" s="56"/>
      <c r="F46" s="57"/>
      <c r="G46" s="56"/>
      <c r="H46" s="58" t="n">
        <v>3</v>
      </c>
      <c r="I46" s="59" t="s">
        <v>5</v>
      </c>
      <c r="J46" s="58" t="n">
        <v>1</v>
      </c>
      <c r="K46" s="56"/>
      <c r="L46" s="57"/>
      <c r="M46" s="56"/>
      <c r="N46" s="60" t="str">
        <f aca="false">IF([1]Repescagem!D8="","Intercontinental 1",[1]Repescagem!D8)</f>
        <v>RD do Congo</v>
      </c>
      <c r="O46" s="2"/>
      <c r="P46" s="54" t="s">
        <v>101</v>
      </c>
      <c r="Q46" s="55" t="s">
        <v>102</v>
      </c>
      <c r="R46" s="56"/>
      <c r="S46" s="57"/>
      <c r="T46" s="56"/>
      <c r="U46" s="58" t="n">
        <v>1</v>
      </c>
      <c r="V46" s="59" t="s">
        <v>5</v>
      </c>
      <c r="W46" s="58" t="n">
        <v>1</v>
      </c>
      <c r="X46" s="56"/>
      <c r="Y46" s="57"/>
      <c r="Z46" s="56"/>
      <c r="AA46" s="60" t="s">
        <v>103</v>
      </c>
      <c r="AB46" s="2"/>
      <c r="AC46" s="2"/>
      <c r="AD46" s="5"/>
    </row>
    <row r="47" customFormat="false" ht="15" hidden="false" customHeight="false" outlineLevel="0" collapsed="false">
      <c r="A47" s="2"/>
      <c r="B47" s="2"/>
      <c r="C47" s="26" t="s">
        <v>104</v>
      </c>
      <c r="D47" s="27" t="s">
        <v>105</v>
      </c>
      <c r="E47" s="5"/>
      <c r="F47" s="28"/>
      <c r="G47" s="5"/>
      <c r="H47" s="29" t="n">
        <v>0</v>
      </c>
      <c r="I47" s="30" t="s">
        <v>5</v>
      </c>
      <c r="J47" s="29" t="n">
        <v>2</v>
      </c>
      <c r="K47" s="5"/>
      <c r="L47" s="28"/>
      <c r="M47" s="5"/>
      <c r="N47" s="31" t="s">
        <v>106</v>
      </c>
      <c r="O47" s="2"/>
      <c r="P47" s="26" t="s">
        <v>107</v>
      </c>
      <c r="Q47" s="27" t="s">
        <v>108</v>
      </c>
      <c r="R47" s="5"/>
      <c r="S47" s="28"/>
      <c r="T47" s="5"/>
      <c r="U47" s="29" t="n">
        <v>3</v>
      </c>
      <c r="V47" s="30" t="s">
        <v>5</v>
      </c>
      <c r="W47" s="29" t="n">
        <v>1</v>
      </c>
      <c r="X47" s="5"/>
      <c r="Y47" s="28"/>
      <c r="Z47" s="5"/>
      <c r="AA47" s="31" t="s">
        <v>109</v>
      </c>
      <c r="AB47" s="2"/>
      <c r="AC47" s="2"/>
      <c r="AD47" s="5"/>
    </row>
    <row r="48" customFormat="false" ht="15" hidden="false" customHeight="false" outlineLevel="0" collapsed="false">
      <c r="A48" s="2"/>
      <c r="B48" s="2"/>
      <c r="C48" s="26" t="s">
        <v>110</v>
      </c>
      <c r="D48" s="27" t="s">
        <v>100</v>
      </c>
      <c r="E48" s="5"/>
      <c r="F48" s="28"/>
      <c r="G48" s="5"/>
      <c r="H48" s="29" t="n">
        <v>4</v>
      </c>
      <c r="I48" s="30" t="s">
        <v>5</v>
      </c>
      <c r="J48" s="29" t="n">
        <v>0</v>
      </c>
      <c r="K48" s="5"/>
      <c r="L48" s="28"/>
      <c r="M48" s="5"/>
      <c r="N48" s="31" t="s">
        <v>105</v>
      </c>
      <c r="O48" s="2"/>
      <c r="P48" s="26" t="s">
        <v>111</v>
      </c>
      <c r="Q48" s="27" t="s">
        <v>102</v>
      </c>
      <c r="R48" s="5"/>
      <c r="S48" s="28"/>
      <c r="T48" s="5"/>
      <c r="U48" s="29" t="n">
        <v>1</v>
      </c>
      <c r="V48" s="30" t="s">
        <v>5</v>
      </c>
      <c r="W48" s="29" t="n">
        <v>1</v>
      </c>
      <c r="X48" s="5"/>
      <c r="Y48" s="28"/>
      <c r="Z48" s="5"/>
      <c r="AA48" s="31" t="s">
        <v>108</v>
      </c>
      <c r="AB48" s="2"/>
      <c r="AC48" s="2"/>
      <c r="AD48" s="5"/>
    </row>
    <row r="49" customFormat="false" ht="15" hidden="false" customHeight="false" outlineLevel="0" collapsed="false">
      <c r="A49" s="2"/>
      <c r="B49" s="2"/>
      <c r="C49" s="26" t="s">
        <v>112</v>
      </c>
      <c r="D49" s="27" t="s">
        <v>106</v>
      </c>
      <c r="E49" s="5"/>
      <c r="F49" s="28"/>
      <c r="G49" s="5"/>
      <c r="H49" s="29" t="n">
        <v>3</v>
      </c>
      <c r="I49" s="30" t="s">
        <v>5</v>
      </c>
      <c r="J49" s="29" t="n">
        <v>1</v>
      </c>
      <c r="K49" s="5"/>
      <c r="L49" s="28"/>
      <c r="M49" s="5"/>
      <c r="N49" s="31" t="str">
        <f aca="false">IF([1]Repescagem!D8="","Intercontinental 1",[1]Repescagem!D8)</f>
        <v>RD do Congo</v>
      </c>
      <c r="O49" s="2"/>
      <c r="P49" s="26" t="s">
        <v>113</v>
      </c>
      <c r="Q49" s="27" t="s">
        <v>109</v>
      </c>
      <c r="R49" s="5"/>
      <c r="S49" s="28"/>
      <c r="T49" s="5"/>
      <c r="U49" s="29" t="n">
        <v>0</v>
      </c>
      <c r="V49" s="30" t="s">
        <v>5</v>
      </c>
      <c r="W49" s="29" t="n">
        <v>3</v>
      </c>
      <c r="X49" s="5"/>
      <c r="Y49" s="28"/>
      <c r="Z49" s="5"/>
      <c r="AA49" s="31" t="s">
        <v>103</v>
      </c>
      <c r="AB49" s="2"/>
      <c r="AC49" s="2"/>
      <c r="AD49" s="5"/>
    </row>
    <row r="50" customFormat="false" ht="15" hidden="false" customHeight="false" outlineLevel="0" collapsed="false">
      <c r="A50" s="2"/>
      <c r="B50" s="2"/>
      <c r="C50" s="26" t="s">
        <v>114</v>
      </c>
      <c r="D50" s="27" t="s">
        <v>106</v>
      </c>
      <c r="E50" s="5"/>
      <c r="F50" s="28"/>
      <c r="G50" s="5"/>
      <c r="H50" s="29" t="n">
        <v>2</v>
      </c>
      <c r="I50" s="30" t="s">
        <v>5</v>
      </c>
      <c r="J50" s="29" t="n">
        <v>3</v>
      </c>
      <c r="K50" s="5"/>
      <c r="L50" s="28"/>
      <c r="M50" s="5"/>
      <c r="N50" s="31" t="s">
        <v>100</v>
      </c>
      <c r="O50" s="2"/>
      <c r="P50" s="26" t="s">
        <v>115</v>
      </c>
      <c r="Q50" s="27" t="s">
        <v>109</v>
      </c>
      <c r="R50" s="5"/>
      <c r="S50" s="28"/>
      <c r="T50" s="5"/>
      <c r="U50" s="29" t="n">
        <v>1</v>
      </c>
      <c r="V50" s="30" t="s">
        <v>5</v>
      </c>
      <c r="W50" s="29" t="n">
        <v>3</v>
      </c>
      <c r="X50" s="5"/>
      <c r="Y50" s="28"/>
      <c r="Z50" s="5"/>
      <c r="AA50" s="31" t="s">
        <v>102</v>
      </c>
      <c r="AB50" s="2"/>
      <c r="AC50" s="2"/>
      <c r="AD50" s="5"/>
    </row>
    <row r="51" customFormat="false" ht="15" hidden="false" customHeight="false" outlineLevel="0" collapsed="false">
      <c r="A51" s="2"/>
      <c r="B51" s="2"/>
      <c r="C51" s="39" t="s">
        <v>114</v>
      </c>
      <c r="D51" s="40" t="str">
        <f aca="false">IF([1]Repescagem!D8="","Intercontinental 1",[1]Repescagem!D8)</f>
        <v>RD do Congo</v>
      </c>
      <c r="E51" s="41"/>
      <c r="F51" s="42"/>
      <c r="G51" s="41"/>
      <c r="H51" s="43" t="n">
        <v>2</v>
      </c>
      <c r="I51" s="44" t="s">
        <v>5</v>
      </c>
      <c r="J51" s="43" t="n">
        <v>0</v>
      </c>
      <c r="K51" s="41"/>
      <c r="L51" s="42"/>
      <c r="M51" s="41"/>
      <c r="N51" s="45" t="s">
        <v>105</v>
      </c>
      <c r="O51" s="2"/>
      <c r="P51" s="39" t="s">
        <v>115</v>
      </c>
      <c r="Q51" s="40" t="s">
        <v>103</v>
      </c>
      <c r="R51" s="41"/>
      <c r="S51" s="42"/>
      <c r="T51" s="41"/>
      <c r="U51" s="43" t="n">
        <v>1</v>
      </c>
      <c r="V51" s="44" t="s">
        <v>5</v>
      </c>
      <c r="W51" s="43" t="n">
        <v>2</v>
      </c>
      <c r="X51" s="41"/>
      <c r="Y51" s="42"/>
      <c r="Z51" s="41"/>
      <c r="AA51" s="45" t="s">
        <v>108</v>
      </c>
      <c r="AB51" s="2"/>
      <c r="AC51" s="2"/>
      <c r="AD51" s="5"/>
    </row>
    <row r="52" customFormat="false" ht="15" hidden="false" customHeight="false" outlineLevel="0" collapsed="false">
      <c r="A52" s="2"/>
      <c r="B52" s="2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5"/>
    </row>
    <row r="53" customFormat="false" ht="15" hidden="false" customHeight="false" outlineLevel="0" collapsed="false">
      <c r="A53" s="5"/>
      <c r="B53" s="5"/>
      <c r="C53" s="5"/>
      <c r="D53" s="68"/>
      <c r="E53" s="5"/>
      <c r="F53" s="5"/>
      <c r="G53" s="5"/>
      <c r="H53" s="5"/>
      <c r="I53" s="5"/>
      <c r="J53" s="5"/>
      <c r="K53" s="5"/>
      <c r="L53" s="5"/>
      <c r="M53" s="5"/>
      <c r="N53" s="69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customFormat="false" ht="15" hidden="false" customHeight="false" outlineLevel="0" collapsed="false">
      <c r="A54" s="5"/>
      <c r="B54" s="5"/>
      <c r="C54" s="5"/>
      <c r="D54" s="68"/>
      <c r="E54" s="5"/>
      <c r="F54" s="5"/>
      <c r="G54" s="5"/>
      <c r="H54" s="5"/>
      <c r="I54" s="5"/>
      <c r="J54" s="5"/>
      <c r="K54" s="5"/>
      <c r="L54" s="5"/>
      <c r="M54" s="5"/>
      <c r="N54" s="69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</sheetData>
  <mergeCells count="13">
    <mergeCell ref="C2:AA2"/>
    <mergeCell ref="C5:N5"/>
    <mergeCell ref="P5:AA5"/>
    <mergeCell ref="C13:N13"/>
    <mergeCell ref="P13:AA13"/>
    <mergeCell ref="C21:N21"/>
    <mergeCell ref="P21:AA21"/>
    <mergeCell ref="C29:N29"/>
    <mergeCell ref="P29:AA29"/>
    <mergeCell ref="C37:N37"/>
    <mergeCell ref="P37:AA37"/>
    <mergeCell ref="C45:N45"/>
    <mergeCell ref="P45:AA4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9" activeCellId="0" sqref="B19"/>
    </sheetView>
  </sheetViews>
  <sheetFormatPr defaultColWidth="8.59765625" defaultRowHeight="15" zeroHeight="false" outlineLevelRow="0" outlineLevelCol="0"/>
  <cols>
    <col collapsed="false" customWidth="true" hidden="false" outlineLevel="0" max="16" min="1" style="1" width="10.29"/>
  </cols>
  <sheetData>
    <row r="1" customFormat="false" ht="15" hidden="false" customHeight="false" outlineLevel="0" collapsed="false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</row>
    <row r="2" customFormat="false" ht="15" hidden="false" customHeight="false" outlineLevel="0" collapsed="false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</row>
    <row r="3" customFormat="false" ht="31.5" hidden="false" customHeight="false" outlineLevel="0" collapsed="false">
      <c r="A3" s="70"/>
      <c r="B3" s="6" t="s">
        <v>116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0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customFormat="false" ht="15" hidden="false" customHeight="false" outlineLevel="0" collapsed="false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</row>
    <row r="5" customFormat="false" ht="15" hidden="false" customHeight="false" outlineLevel="0" collapsed="false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</row>
    <row r="6" customFormat="false" ht="15" hidden="false" customHeight="false" outlineLevel="0" collapsed="false">
      <c r="A6" s="70"/>
      <c r="B6" s="72" t="s">
        <v>117</v>
      </c>
      <c r="C6" s="72"/>
      <c r="D6" s="72"/>
      <c r="E6" s="73" t="s">
        <v>64</v>
      </c>
      <c r="F6" s="73"/>
      <c r="G6" s="73"/>
      <c r="H6" s="70"/>
      <c r="I6" s="70"/>
      <c r="J6" s="72" t="s">
        <v>118</v>
      </c>
      <c r="K6" s="72"/>
      <c r="L6" s="72"/>
      <c r="M6" s="73" t="s">
        <v>89</v>
      </c>
      <c r="N6" s="73"/>
      <c r="O6" s="73"/>
      <c r="P6" s="70"/>
    </row>
    <row r="7" customFormat="false" ht="15" hidden="false" customHeight="false" outlineLevel="0" collapsed="false">
      <c r="A7" s="70"/>
      <c r="B7" s="74"/>
      <c r="C7" s="74"/>
      <c r="D7" s="74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</row>
    <row r="8" customFormat="false" ht="15" hidden="false" customHeight="false" outlineLevel="0" collapsed="false">
      <c r="A8" s="70"/>
      <c r="B8" s="74"/>
      <c r="C8" s="74"/>
      <c r="D8" s="74"/>
      <c r="E8" s="70"/>
      <c r="F8" s="72" t="s">
        <v>119</v>
      </c>
      <c r="G8" s="72"/>
      <c r="H8" s="72"/>
      <c r="I8" s="73" t="s">
        <v>120</v>
      </c>
      <c r="J8" s="73"/>
      <c r="K8" s="73"/>
      <c r="L8" s="70"/>
      <c r="M8" s="70"/>
      <c r="N8" s="70"/>
      <c r="O8" s="70"/>
      <c r="P8" s="70"/>
    </row>
    <row r="9" customFormat="false" ht="15" hidden="false" customHeight="false" outlineLevel="0" collapsed="false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</row>
    <row r="10" customFormat="false" ht="15" hidden="false" customHeight="false" outlineLevel="0" collapsed="false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</row>
    <row r="11" customFormat="false" ht="15" hidden="false" customHeight="false" outlineLevel="0" collapsed="false">
      <c r="A11" s="70"/>
      <c r="B11" s="70"/>
      <c r="C11" s="75" t="s">
        <v>121</v>
      </c>
      <c r="D11" s="75"/>
      <c r="E11" s="75"/>
      <c r="F11" s="70"/>
      <c r="G11" s="70"/>
      <c r="H11" s="70"/>
      <c r="I11" s="70"/>
      <c r="J11" s="70"/>
      <c r="K11" s="70"/>
      <c r="L11" s="75" t="s">
        <v>122</v>
      </c>
      <c r="M11" s="75"/>
      <c r="N11" s="75"/>
      <c r="O11" s="70"/>
      <c r="P11" s="70"/>
    </row>
    <row r="12" customFormat="false" ht="15" hidden="false" customHeight="false" outlineLevel="0" collapsed="false">
      <c r="A12" s="70"/>
      <c r="B12" s="70"/>
      <c r="C12" s="76" t="s">
        <v>4</v>
      </c>
      <c r="D12" s="76"/>
      <c r="E12" s="77"/>
      <c r="F12" s="70"/>
      <c r="G12" s="70"/>
      <c r="H12" s="70"/>
      <c r="I12" s="70"/>
      <c r="J12" s="70"/>
      <c r="K12" s="70"/>
      <c r="L12" s="76" t="s">
        <v>6</v>
      </c>
      <c r="M12" s="76"/>
      <c r="N12" s="77"/>
      <c r="O12" s="70"/>
      <c r="P12" s="70"/>
    </row>
    <row r="13" customFormat="false" ht="15" hidden="false" customHeight="false" outlineLevel="0" collapsed="false">
      <c r="A13" s="70"/>
      <c r="B13" s="70"/>
      <c r="C13" s="78" t="s">
        <v>13</v>
      </c>
      <c r="D13" s="78"/>
      <c r="E13" s="79"/>
      <c r="F13" s="70"/>
      <c r="G13" s="70"/>
      <c r="H13" s="70"/>
      <c r="I13" s="70"/>
      <c r="J13" s="70"/>
      <c r="K13" s="70"/>
      <c r="L13" s="78" t="s">
        <v>123</v>
      </c>
      <c r="M13" s="78"/>
      <c r="N13" s="79"/>
      <c r="O13" s="70"/>
      <c r="P13" s="70"/>
    </row>
    <row r="14" customFormat="false" ht="15" hidden="false" customHeight="false" outlineLevel="0" collapsed="false">
      <c r="A14" s="70"/>
      <c r="B14" s="70"/>
      <c r="C14" s="78" t="s">
        <v>23</v>
      </c>
      <c r="D14" s="78"/>
      <c r="E14" s="79"/>
      <c r="F14" s="70"/>
      <c r="G14" s="70"/>
      <c r="H14" s="70"/>
      <c r="I14" s="70"/>
      <c r="J14" s="70"/>
      <c r="K14" s="70"/>
      <c r="L14" s="78" t="s">
        <v>29</v>
      </c>
      <c r="M14" s="78"/>
      <c r="N14" s="79"/>
      <c r="O14" s="70"/>
      <c r="P14" s="70"/>
    </row>
    <row r="15" customFormat="false" ht="15" hidden="false" customHeight="false" outlineLevel="0" collapsed="false">
      <c r="A15" s="70"/>
      <c r="B15" s="70"/>
      <c r="C15" s="78" t="s">
        <v>26</v>
      </c>
      <c r="D15" s="78"/>
      <c r="E15" s="79"/>
      <c r="F15" s="70"/>
      <c r="G15" s="70"/>
      <c r="H15" s="70"/>
      <c r="I15" s="70"/>
      <c r="J15" s="70"/>
      <c r="K15" s="70"/>
      <c r="L15" s="78" t="s">
        <v>27</v>
      </c>
      <c r="M15" s="78"/>
      <c r="N15" s="79"/>
      <c r="O15" s="70"/>
      <c r="P15" s="70"/>
    </row>
    <row r="16" customFormat="false" ht="15" hidden="false" customHeight="false" outlineLevel="0" collapsed="false">
      <c r="A16" s="70"/>
      <c r="B16" s="70"/>
      <c r="C16" s="78" t="s">
        <v>42</v>
      </c>
      <c r="D16" s="78"/>
      <c r="E16" s="79"/>
      <c r="F16" s="70"/>
      <c r="G16" s="70"/>
      <c r="H16" s="70"/>
      <c r="I16" s="70"/>
      <c r="J16" s="70"/>
      <c r="K16" s="70"/>
      <c r="L16" s="78" t="s">
        <v>43</v>
      </c>
      <c r="M16" s="78"/>
      <c r="N16" s="79"/>
      <c r="O16" s="70"/>
      <c r="P16" s="70"/>
    </row>
    <row r="17" customFormat="false" ht="15" hidden="false" customHeight="false" outlineLevel="0" collapsed="false">
      <c r="A17" s="70"/>
      <c r="B17" s="70"/>
      <c r="C17" s="78" t="s">
        <v>45</v>
      </c>
      <c r="D17" s="78"/>
      <c r="E17" s="79" t="s">
        <v>124</v>
      </c>
      <c r="F17" s="70"/>
      <c r="G17" s="70"/>
      <c r="H17" s="70"/>
      <c r="I17" s="70"/>
      <c r="J17" s="70"/>
      <c r="K17" s="70"/>
      <c r="L17" s="78" t="s">
        <v>51</v>
      </c>
      <c r="M17" s="78"/>
      <c r="N17" s="79" t="s">
        <v>124</v>
      </c>
      <c r="O17" s="70"/>
      <c r="P17" s="70"/>
    </row>
    <row r="18" customFormat="false" ht="15" hidden="false" customHeight="false" outlineLevel="0" collapsed="false">
      <c r="A18" s="70"/>
      <c r="B18" s="70"/>
      <c r="C18" s="78" t="s">
        <v>61</v>
      </c>
      <c r="D18" s="78"/>
      <c r="E18" s="79"/>
      <c r="F18" s="70"/>
      <c r="G18" s="70"/>
      <c r="H18" s="70"/>
      <c r="I18" s="70"/>
      <c r="J18" s="70"/>
      <c r="K18" s="70"/>
      <c r="L18" s="78" t="s">
        <v>68</v>
      </c>
      <c r="M18" s="78"/>
      <c r="N18" s="79"/>
      <c r="O18" s="70"/>
      <c r="P18" s="70"/>
    </row>
    <row r="19" customFormat="false" ht="15" hidden="false" customHeight="false" outlineLevel="0" collapsed="false">
      <c r="A19" s="70"/>
      <c r="B19" s="70"/>
      <c r="C19" s="78" t="s">
        <v>64</v>
      </c>
      <c r="D19" s="78"/>
      <c r="E19" s="79"/>
      <c r="F19" s="70"/>
      <c r="G19" s="70"/>
      <c r="H19" s="70"/>
      <c r="I19" s="70"/>
      <c r="J19" s="70"/>
      <c r="K19" s="70"/>
      <c r="L19" s="78" t="s">
        <v>65</v>
      </c>
      <c r="M19" s="78"/>
      <c r="N19" s="79"/>
      <c r="O19" s="70"/>
      <c r="P19" s="70"/>
    </row>
    <row r="20" customFormat="false" ht="15" hidden="false" customHeight="false" outlineLevel="0" collapsed="false">
      <c r="A20" s="70"/>
      <c r="B20" s="70"/>
      <c r="C20" s="78" t="s">
        <v>81</v>
      </c>
      <c r="D20" s="78"/>
      <c r="E20" s="79"/>
      <c r="F20" s="70"/>
      <c r="G20" s="70"/>
      <c r="H20" s="70"/>
      <c r="I20" s="70"/>
      <c r="J20" s="70"/>
      <c r="K20" s="70"/>
      <c r="L20" s="78" t="s">
        <v>125</v>
      </c>
      <c r="M20" s="78"/>
      <c r="N20" s="79"/>
      <c r="O20" s="70"/>
      <c r="P20" s="70"/>
    </row>
    <row r="21" customFormat="false" ht="15" hidden="false" customHeight="false" outlineLevel="0" collapsed="false">
      <c r="A21" s="70"/>
      <c r="B21" s="70"/>
      <c r="C21" s="78" t="s">
        <v>89</v>
      </c>
      <c r="D21" s="78"/>
      <c r="E21" s="79"/>
      <c r="F21" s="70"/>
      <c r="G21" s="70"/>
      <c r="H21" s="70"/>
      <c r="I21" s="70"/>
      <c r="J21" s="70"/>
      <c r="K21" s="70"/>
      <c r="L21" s="78" t="s">
        <v>85</v>
      </c>
      <c r="M21" s="78"/>
      <c r="N21" s="79"/>
      <c r="O21" s="70"/>
      <c r="P21" s="70"/>
    </row>
    <row r="22" customFormat="false" ht="15" hidden="false" customHeight="false" outlineLevel="0" collapsed="false">
      <c r="A22" s="70"/>
      <c r="B22" s="70"/>
      <c r="C22" s="78" t="s">
        <v>100</v>
      </c>
      <c r="D22" s="78"/>
      <c r="E22" s="79"/>
      <c r="F22" s="70"/>
      <c r="G22" s="70"/>
      <c r="H22" s="70"/>
      <c r="I22" s="70"/>
      <c r="J22" s="70"/>
      <c r="K22" s="70"/>
      <c r="L22" s="78" t="s">
        <v>105</v>
      </c>
      <c r="M22" s="78"/>
      <c r="N22" s="79"/>
      <c r="O22" s="70"/>
      <c r="P22" s="70"/>
    </row>
    <row r="23" customFormat="false" ht="15" hidden="false" customHeight="false" outlineLevel="0" collapsed="false">
      <c r="A23" s="70"/>
      <c r="B23" s="70"/>
      <c r="C23" s="78" t="s">
        <v>102</v>
      </c>
      <c r="D23" s="78"/>
      <c r="E23" s="79"/>
      <c r="F23" s="70"/>
      <c r="G23" s="70"/>
      <c r="H23" s="70"/>
      <c r="I23" s="70"/>
      <c r="J23" s="70"/>
      <c r="K23" s="70"/>
      <c r="L23" s="78" t="s">
        <v>109</v>
      </c>
      <c r="M23" s="78"/>
      <c r="N23" s="79"/>
      <c r="O23" s="70"/>
      <c r="P23" s="70"/>
    </row>
    <row r="24" customFormat="false" ht="15" hidden="false" customHeight="false" outlineLevel="0" collapsed="false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</row>
    <row r="25" customFormat="false" ht="15" hidden="false" customHeight="false" outlineLevel="0" collapsed="false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</row>
    <row r="26" customFormat="false" ht="15" hidden="false" customHeight="false" outlineLevel="0" collapsed="false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</row>
    <row r="27" customFormat="false" ht="15" hidden="false" customHeight="false" outlineLevel="0" collapsed="false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</row>
    <row r="28" customFormat="false" ht="15" hidden="false" customHeight="false" outlineLevel="0" collapsed="false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</row>
    <row r="29" customFormat="false" ht="15" hidden="false" customHeight="false" outlineLevel="0" collapsed="false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</row>
    <row r="30" customFormat="false" ht="15.75" hidden="false" customHeight="false" outlineLevel="0" collapsed="false">
      <c r="B30" s="80"/>
    </row>
    <row r="31" customFormat="false" ht="15.75" hidden="false" customHeight="false" outlineLevel="0" collapsed="false">
      <c r="B31" s="80"/>
    </row>
    <row r="32" customFormat="false" ht="15.75" hidden="false" customHeight="false" outlineLevel="0" collapsed="false">
      <c r="B32" s="80"/>
    </row>
  </sheetData>
  <mergeCells count="33">
    <mergeCell ref="B3:O3"/>
    <mergeCell ref="B6:D6"/>
    <mergeCell ref="E6:G6"/>
    <mergeCell ref="J6:L6"/>
    <mergeCell ref="M6:O6"/>
    <mergeCell ref="F8:H8"/>
    <mergeCell ref="I8:K8"/>
    <mergeCell ref="C11:E11"/>
    <mergeCell ref="L11:N11"/>
    <mergeCell ref="C12:D12"/>
    <mergeCell ref="L12:M12"/>
    <mergeCell ref="C13:D13"/>
    <mergeCell ref="L13:M13"/>
    <mergeCell ref="C14:D14"/>
    <mergeCell ref="L14:M14"/>
    <mergeCell ref="C15:D15"/>
    <mergeCell ref="L15:M15"/>
    <mergeCell ref="C16:D16"/>
    <mergeCell ref="L16:M16"/>
    <mergeCell ref="C17:D17"/>
    <mergeCell ref="L17:M17"/>
    <mergeCell ref="C18:D18"/>
    <mergeCell ref="L18:M18"/>
    <mergeCell ref="C19:D19"/>
    <mergeCell ref="L19:M19"/>
    <mergeCell ref="C20:D20"/>
    <mergeCell ref="L20:M20"/>
    <mergeCell ref="C21:D21"/>
    <mergeCell ref="L21:M21"/>
    <mergeCell ref="C22:D22"/>
    <mergeCell ref="L22:M22"/>
    <mergeCell ref="C23:D23"/>
    <mergeCell ref="L23:M2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5"/>
  <sheetViews>
    <sheetView showFormulas="false" showGridLines="true" showRowColHeaders="true" showZeros="true" rightToLeft="false" tabSelected="false" showOutlineSymbols="true" defaultGridColor="true" view="normal" topLeftCell="J10" colorId="64" zoomScale="100" zoomScaleNormal="100" zoomScalePageLayoutView="100" workbookViewId="0">
      <selection pane="topLeft" activeCell="L40" activeCellId="0" sqref="L40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.14"/>
    <col collapsed="false" customWidth="true" hidden="false" outlineLevel="0" max="2" min="2" style="1" width="2.57"/>
    <col collapsed="false" customWidth="true" hidden="false" outlineLevel="0" max="3" min="3" style="1" width="18.57"/>
    <col collapsed="false" customWidth="true" hidden="false" outlineLevel="0" max="6" min="4" style="1" width="6.43"/>
    <col collapsed="false" customWidth="true" hidden="false" outlineLevel="0" max="7" min="7" style="1" width="18.57"/>
    <col collapsed="false" customWidth="true" hidden="false" outlineLevel="0" max="10" min="8" style="1" width="6.43"/>
    <col collapsed="false" customWidth="true" hidden="false" outlineLevel="0" max="11" min="11" style="1" width="18.57"/>
    <col collapsed="false" customWidth="true" hidden="false" outlineLevel="0" max="14" min="12" style="1" width="6.43"/>
    <col collapsed="false" customWidth="true" hidden="false" outlineLevel="0" max="15" min="15" style="1" width="18.57"/>
    <col collapsed="false" customWidth="true" hidden="false" outlineLevel="0" max="18" min="16" style="1" width="6.43"/>
    <col collapsed="false" customWidth="true" hidden="false" outlineLevel="0" max="19" min="19" style="1" width="18.57"/>
    <col collapsed="false" customWidth="true" hidden="false" outlineLevel="0" max="22" min="20" style="1" width="6.43"/>
    <col collapsed="false" customWidth="true" hidden="false" outlineLevel="0" max="23" min="23" style="1" width="18.57"/>
    <col collapsed="false" customWidth="true" hidden="false" outlineLevel="0" max="26" min="24" style="1" width="6.43"/>
    <col collapsed="false" customWidth="true" hidden="false" outlineLevel="0" max="27" min="27" style="1" width="18.57"/>
    <col collapsed="false" customWidth="true" hidden="false" outlineLevel="0" max="30" min="28" style="1" width="6.43"/>
    <col collapsed="false" customWidth="true" hidden="false" outlineLevel="0" max="31" min="31" style="1" width="18.57"/>
    <col collapsed="false" customWidth="true" hidden="false" outlineLevel="0" max="34" min="32" style="1" width="6.43"/>
    <col collapsed="false" customWidth="true" hidden="false" outlineLevel="0" max="35" min="35" style="1" width="18.57"/>
    <col collapsed="false" customWidth="true" hidden="false" outlineLevel="0" max="36" min="36" style="1" width="6.43"/>
    <col collapsed="false" customWidth="true" hidden="false" outlineLevel="0" max="38" min="37" style="1" width="2.29"/>
  </cols>
  <sheetData>
    <row r="1" customFormat="false" ht="15" hidden="false" customHeight="false" outlineLevel="0" collapsed="false">
      <c r="A1" s="70"/>
      <c r="B1" s="81"/>
      <c r="C1" s="70"/>
      <c r="D1" s="82"/>
      <c r="E1" s="82"/>
      <c r="F1" s="70"/>
      <c r="G1" s="70"/>
      <c r="H1" s="82"/>
      <c r="I1" s="82"/>
      <c r="J1" s="70"/>
      <c r="K1" s="70"/>
      <c r="L1" s="82"/>
      <c r="M1" s="82"/>
      <c r="N1" s="70"/>
      <c r="O1" s="70"/>
      <c r="P1" s="82"/>
      <c r="Q1" s="82"/>
      <c r="R1" s="70"/>
      <c r="S1" s="70"/>
      <c r="T1" s="70"/>
      <c r="U1" s="82"/>
      <c r="V1" s="70"/>
      <c r="W1" s="70"/>
      <c r="X1" s="82"/>
      <c r="Y1" s="82"/>
      <c r="Z1" s="70"/>
      <c r="AA1" s="70"/>
      <c r="AB1" s="82"/>
      <c r="AC1" s="70"/>
      <c r="AD1" s="70"/>
      <c r="AE1" s="70"/>
      <c r="AF1" s="82"/>
      <c r="AG1" s="70"/>
      <c r="AH1" s="70"/>
      <c r="AI1" s="70"/>
      <c r="AJ1" s="82"/>
      <c r="AK1" s="83"/>
      <c r="AL1" s="70"/>
      <c r="AM1" s="84"/>
    </row>
    <row r="2" customFormat="false" ht="49.95" hidden="false" customHeight="false" outlineLevel="0" collapsed="false">
      <c r="A2" s="70"/>
      <c r="B2" s="85" t="s">
        <v>126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70"/>
      <c r="AM2" s="84"/>
    </row>
    <row r="3" customFormat="false" ht="43.3" hidden="false" customHeight="false" outlineLevel="0" collapsed="false">
      <c r="A3" s="70"/>
      <c r="B3" s="86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8"/>
      <c r="AL3" s="70"/>
      <c r="AM3" s="84"/>
    </row>
    <row r="4" customFormat="false" ht="15" hidden="false" customHeight="false" outlineLevel="0" collapsed="false">
      <c r="A4" s="70"/>
      <c r="B4" s="81"/>
      <c r="C4" s="70"/>
      <c r="D4" s="82"/>
      <c r="E4" s="82"/>
      <c r="F4" s="70"/>
      <c r="G4" s="70"/>
      <c r="H4" s="82"/>
      <c r="I4" s="82"/>
      <c r="J4" s="70"/>
      <c r="K4" s="70"/>
      <c r="L4" s="82"/>
      <c r="M4" s="82"/>
      <c r="N4" s="70"/>
      <c r="O4" s="70"/>
      <c r="P4" s="82"/>
      <c r="Q4" s="82"/>
      <c r="R4" s="89"/>
      <c r="S4" s="70"/>
      <c r="T4" s="70"/>
      <c r="U4" s="82"/>
      <c r="V4" s="70"/>
      <c r="W4" s="70"/>
      <c r="X4" s="82"/>
      <c r="Y4" s="82"/>
      <c r="Z4" s="70"/>
      <c r="AA4" s="90"/>
      <c r="AB4" s="89"/>
      <c r="AC4" s="70"/>
      <c r="AD4" s="70"/>
      <c r="AE4" s="90"/>
      <c r="AF4" s="89"/>
      <c r="AG4" s="70"/>
      <c r="AH4" s="70"/>
      <c r="AI4" s="90"/>
      <c r="AJ4" s="89"/>
      <c r="AK4" s="83"/>
      <c r="AL4" s="70"/>
      <c r="AM4" s="84"/>
    </row>
    <row r="5" customFormat="false" ht="15" hidden="false" customHeight="false" outlineLevel="0" collapsed="false">
      <c r="A5" s="70"/>
      <c r="B5" s="81"/>
      <c r="C5" s="91" t="s">
        <v>127</v>
      </c>
      <c r="D5" s="91"/>
      <c r="E5" s="89"/>
      <c r="F5" s="70"/>
      <c r="G5" s="70"/>
      <c r="H5" s="82"/>
      <c r="I5" s="82"/>
      <c r="J5" s="70"/>
      <c r="K5" s="70"/>
      <c r="L5" s="82"/>
      <c r="M5" s="82"/>
      <c r="N5" s="70"/>
      <c r="O5" s="70"/>
      <c r="P5" s="82"/>
      <c r="Q5" s="82"/>
      <c r="R5" s="70"/>
      <c r="S5" s="70"/>
      <c r="T5" s="70"/>
      <c r="U5" s="82"/>
      <c r="V5" s="70"/>
      <c r="W5" s="70"/>
      <c r="X5" s="82"/>
      <c r="Y5" s="82"/>
      <c r="Z5" s="70"/>
      <c r="AA5" s="70"/>
      <c r="AB5" s="82"/>
      <c r="AC5" s="70"/>
      <c r="AD5" s="70"/>
      <c r="AE5" s="70"/>
      <c r="AF5" s="82"/>
      <c r="AG5" s="70"/>
      <c r="AH5" s="70"/>
      <c r="AI5" s="91" t="s">
        <v>127</v>
      </c>
      <c r="AJ5" s="91"/>
      <c r="AK5" s="83"/>
      <c r="AL5" s="70"/>
      <c r="AM5" s="84"/>
    </row>
    <row r="6" customFormat="false" ht="15" hidden="false" customHeight="false" outlineLevel="0" collapsed="false">
      <c r="A6" s="70"/>
      <c r="B6" s="81"/>
      <c r="C6" s="92" t="n">
        <v>46202</v>
      </c>
      <c r="D6" s="93" t="n">
        <v>74</v>
      </c>
      <c r="E6" s="94"/>
      <c r="F6" s="70"/>
      <c r="G6" s="70"/>
      <c r="H6" s="82"/>
      <c r="I6" s="82"/>
      <c r="J6" s="70"/>
      <c r="K6" s="70"/>
      <c r="L6" s="82"/>
      <c r="M6" s="82"/>
      <c r="N6" s="70"/>
      <c r="O6" s="70"/>
      <c r="P6" s="82"/>
      <c r="Q6" s="82"/>
      <c r="R6" s="70"/>
      <c r="S6" s="70"/>
      <c r="T6" s="70"/>
      <c r="U6" s="82"/>
      <c r="V6" s="70"/>
      <c r="W6" s="70"/>
      <c r="X6" s="82"/>
      <c r="Y6" s="82"/>
      <c r="Z6" s="70"/>
      <c r="AA6" s="70"/>
      <c r="AB6" s="82"/>
      <c r="AC6" s="70"/>
      <c r="AD6" s="70"/>
      <c r="AE6" s="70"/>
      <c r="AF6" s="82"/>
      <c r="AG6" s="70"/>
      <c r="AH6" s="70"/>
      <c r="AI6" s="92" t="n">
        <v>46202</v>
      </c>
      <c r="AJ6" s="93" t="n">
        <v>76</v>
      </c>
      <c r="AK6" s="83"/>
      <c r="AL6" s="70"/>
      <c r="AM6" s="84"/>
    </row>
    <row r="7" customFormat="false" ht="15" hidden="false" customHeight="false" outlineLevel="0" collapsed="false">
      <c r="A7" s="70"/>
      <c r="B7" s="81"/>
      <c r="C7" s="95"/>
      <c r="D7" s="96"/>
      <c r="E7" s="97"/>
      <c r="F7" s="70"/>
      <c r="G7" s="91" t="s">
        <v>128</v>
      </c>
      <c r="H7" s="91"/>
      <c r="I7" s="89"/>
      <c r="J7" s="70"/>
      <c r="K7" s="70"/>
      <c r="L7" s="82"/>
      <c r="M7" s="82"/>
      <c r="N7" s="70"/>
      <c r="O7" s="70"/>
      <c r="P7" s="82"/>
      <c r="Q7" s="82"/>
      <c r="R7" s="70"/>
      <c r="S7" s="70"/>
      <c r="T7" s="70"/>
      <c r="U7" s="82"/>
      <c r="V7" s="70"/>
      <c r="W7" s="70"/>
      <c r="X7" s="82"/>
      <c r="Y7" s="82"/>
      <c r="Z7" s="70"/>
      <c r="AA7" s="70"/>
      <c r="AB7" s="82"/>
      <c r="AC7" s="70"/>
      <c r="AD7" s="70"/>
      <c r="AE7" s="91" t="s">
        <v>128</v>
      </c>
      <c r="AF7" s="91"/>
      <c r="AG7" s="70"/>
      <c r="AH7" s="70"/>
      <c r="AI7" s="95"/>
      <c r="AJ7" s="96"/>
      <c r="AK7" s="83"/>
      <c r="AL7" s="70"/>
      <c r="AM7" s="84"/>
    </row>
    <row r="8" customFormat="false" ht="15" hidden="false" customHeight="false" outlineLevel="0" collapsed="false">
      <c r="A8" s="70"/>
      <c r="B8" s="81"/>
      <c r="C8" s="98"/>
      <c r="D8" s="99"/>
      <c r="E8" s="100"/>
      <c r="F8" s="101"/>
      <c r="G8" s="92" t="n">
        <v>46207</v>
      </c>
      <c r="H8" s="93" t="n">
        <v>89</v>
      </c>
      <c r="I8" s="94"/>
      <c r="J8" s="70"/>
      <c r="K8" s="70"/>
      <c r="L8" s="82"/>
      <c r="M8" s="82"/>
      <c r="N8" s="70"/>
      <c r="O8" s="70"/>
      <c r="P8" s="82"/>
      <c r="Q8" s="82"/>
      <c r="R8" s="70"/>
      <c r="S8" s="70"/>
      <c r="T8" s="70"/>
      <c r="U8" s="82"/>
      <c r="V8" s="70"/>
      <c r="W8" s="70"/>
      <c r="X8" s="82"/>
      <c r="Y8" s="82"/>
      <c r="Z8" s="70"/>
      <c r="AA8" s="70"/>
      <c r="AB8" s="82"/>
      <c r="AC8" s="70"/>
      <c r="AD8" s="70"/>
      <c r="AE8" s="92" t="n">
        <v>46208</v>
      </c>
      <c r="AF8" s="93" t="n">
        <v>91</v>
      </c>
      <c r="AG8" s="70"/>
      <c r="AH8" s="102"/>
      <c r="AI8" s="98"/>
      <c r="AJ8" s="99"/>
      <c r="AK8" s="83"/>
      <c r="AL8" s="70"/>
      <c r="AM8" s="84"/>
    </row>
    <row r="9" customFormat="false" ht="15" hidden="false" customHeight="false" outlineLevel="0" collapsed="false">
      <c r="A9" s="70"/>
      <c r="B9" s="81"/>
      <c r="C9" s="103"/>
      <c r="D9" s="82"/>
      <c r="E9" s="104"/>
      <c r="F9" s="105"/>
      <c r="G9" s="95"/>
      <c r="H9" s="96"/>
      <c r="I9" s="97"/>
      <c r="J9" s="70"/>
      <c r="K9" s="70"/>
      <c r="L9" s="82"/>
      <c r="M9" s="82"/>
      <c r="N9" s="70"/>
      <c r="O9" s="70"/>
      <c r="P9" s="82"/>
      <c r="Q9" s="82"/>
      <c r="R9" s="70"/>
      <c r="S9" s="70"/>
      <c r="T9" s="70"/>
      <c r="U9" s="82"/>
      <c r="V9" s="70"/>
      <c r="W9" s="70"/>
      <c r="X9" s="82"/>
      <c r="Y9" s="82"/>
      <c r="Z9" s="70"/>
      <c r="AA9" s="70"/>
      <c r="AB9" s="82"/>
      <c r="AC9" s="70"/>
      <c r="AD9" s="70"/>
      <c r="AE9" s="95"/>
      <c r="AF9" s="96"/>
      <c r="AG9" s="106"/>
      <c r="AH9" s="107"/>
      <c r="AI9" s="103"/>
      <c r="AJ9" s="82"/>
      <c r="AK9" s="83"/>
      <c r="AL9" s="70"/>
      <c r="AM9" s="84"/>
    </row>
    <row r="10" customFormat="false" ht="15" hidden="false" customHeight="false" outlineLevel="0" collapsed="false">
      <c r="A10" s="70"/>
      <c r="B10" s="81"/>
      <c r="C10" s="108" t="n">
        <v>46203</v>
      </c>
      <c r="D10" s="109" t="n">
        <v>77</v>
      </c>
      <c r="E10" s="110"/>
      <c r="F10" s="101"/>
      <c r="G10" s="98"/>
      <c r="H10" s="99"/>
      <c r="I10" s="111"/>
      <c r="J10" s="70"/>
      <c r="K10" s="70"/>
      <c r="L10" s="82"/>
      <c r="M10" s="82"/>
      <c r="N10" s="70"/>
      <c r="O10" s="70"/>
      <c r="P10" s="82"/>
      <c r="Q10" s="82"/>
      <c r="R10" s="70"/>
      <c r="S10" s="70"/>
      <c r="T10" s="70"/>
      <c r="U10" s="82"/>
      <c r="V10" s="70"/>
      <c r="W10" s="70"/>
      <c r="X10" s="82"/>
      <c r="Y10" s="82"/>
      <c r="Z10" s="70"/>
      <c r="AA10" s="70"/>
      <c r="AB10" s="82"/>
      <c r="AC10" s="70"/>
      <c r="AD10" s="102"/>
      <c r="AE10" s="98"/>
      <c r="AF10" s="99"/>
      <c r="AG10" s="70"/>
      <c r="AH10" s="107"/>
      <c r="AI10" s="108" t="n">
        <v>46203</v>
      </c>
      <c r="AJ10" s="109" t="n">
        <v>78</v>
      </c>
      <c r="AK10" s="83"/>
      <c r="AL10" s="70"/>
      <c r="AM10" s="84"/>
    </row>
    <row r="11" customFormat="false" ht="15" hidden="false" customHeight="false" outlineLevel="0" collapsed="false">
      <c r="A11" s="70"/>
      <c r="B11" s="81"/>
      <c r="C11" s="95"/>
      <c r="D11" s="96"/>
      <c r="E11" s="104"/>
      <c r="F11" s="112"/>
      <c r="G11" s="113"/>
      <c r="H11" s="82"/>
      <c r="I11" s="114"/>
      <c r="J11" s="70"/>
      <c r="K11" s="91" t="s">
        <v>129</v>
      </c>
      <c r="L11" s="91"/>
      <c r="M11" s="89"/>
      <c r="N11" s="70"/>
      <c r="O11" s="70"/>
      <c r="P11" s="82"/>
      <c r="Q11" s="82"/>
      <c r="R11" s="70"/>
      <c r="S11" s="70"/>
      <c r="T11" s="70"/>
      <c r="U11" s="82"/>
      <c r="V11" s="70"/>
      <c r="W11" s="70"/>
      <c r="X11" s="82"/>
      <c r="Y11" s="82"/>
      <c r="Z11" s="70"/>
      <c r="AA11" s="91" t="s">
        <v>129</v>
      </c>
      <c r="AB11" s="91"/>
      <c r="AC11" s="70"/>
      <c r="AD11" s="107"/>
      <c r="AE11" s="70"/>
      <c r="AF11" s="82"/>
      <c r="AG11" s="70"/>
      <c r="AH11" s="115"/>
      <c r="AI11" s="95"/>
      <c r="AJ11" s="96"/>
      <c r="AK11" s="83"/>
      <c r="AL11" s="70"/>
      <c r="AM11" s="84"/>
    </row>
    <row r="12" customFormat="false" ht="15" hidden="false" customHeight="false" outlineLevel="0" collapsed="false">
      <c r="A12" s="70"/>
      <c r="B12" s="81"/>
      <c r="C12" s="98"/>
      <c r="D12" s="99"/>
      <c r="E12" s="116"/>
      <c r="F12" s="70"/>
      <c r="G12" s="70"/>
      <c r="H12" s="82"/>
      <c r="I12" s="114"/>
      <c r="J12" s="70"/>
      <c r="K12" s="92" t="n">
        <v>46212</v>
      </c>
      <c r="L12" s="93" t="n">
        <v>97</v>
      </c>
      <c r="M12" s="94"/>
      <c r="N12" s="70"/>
      <c r="O12" s="70"/>
      <c r="P12" s="82"/>
      <c r="Q12" s="82"/>
      <c r="R12" s="70"/>
      <c r="S12" s="70"/>
      <c r="T12" s="70"/>
      <c r="U12" s="82"/>
      <c r="V12" s="70"/>
      <c r="W12" s="70"/>
      <c r="X12" s="82"/>
      <c r="Y12" s="82"/>
      <c r="Z12" s="70"/>
      <c r="AA12" s="92" t="n">
        <v>46215</v>
      </c>
      <c r="AB12" s="93" t="n">
        <v>99</v>
      </c>
      <c r="AC12" s="70"/>
      <c r="AD12" s="107"/>
      <c r="AE12" s="70"/>
      <c r="AF12" s="82"/>
      <c r="AG12" s="70"/>
      <c r="AH12" s="70"/>
      <c r="AI12" s="98"/>
      <c r="AJ12" s="99"/>
      <c r="AK12" s="83"/>
      <c r="AL12" s="70"/>
      <c r="AM12" s="84"/>
    </row>
    <row r="13" customFormat="false" ht="15" hidden="false" customHeight="false" outlineLevel="0" collapsed="false">
      <c r="A13" s="70"/>
      <c r="B13" s="81"/>
      <c r="C13" s="103"/>
      <c r="D13" s="82"/>
      <c r="E13" s="82"/>
      <c r="F13" s="70"/>
      <c r="G13" s="70"/>
      <c r="H13" s="82"/>
      <c r="I13" s="114"/>
      <c r="J13" s="117"/>
      <c r="K13" s="95"/>
      <c r="L13" s="96"/>
      <c r="M13" s="97"/>
      <c r="N13" s="70"/>
      <c r="O13" s="70"/>
      <c r="P13" s="82"/>
      <c r="Q13" s="82"/>
      <c r="R13" s="70"/>
      <c r="S13" s="70"/>
      <c r="T13" s="70"/>
      <c r="U13" s="82"/>
      <c r="V13" s="70"/>
      <c r="W13" s="70"/>
      <c r="X13" s="82"/>
      <c r="Y13" s="82"/>
      <c r="Z13" s="70"/>
      <c r="AA13" s="95"/>
      <c r="AB13" s="96"/>
      <c r="AC13" s="118"/>
      <c r="AD13" s="107"/>
      <c r="AE13" s="70"/>
      <c r="AF13" s="82"/>
      <c r="AG13" s="70"/>
      <c r="AH13" s="70"/>
      <c r="AI13" s="103"/>
      <c r="AJ13" s="82"/>
      <c r="AK13" s="83"/>
      <c r="AL13" s="70"/>
      <c r="AM13" s="84"/>
    </row>
    <row r="14" customFormat="false" ht="15" hidden="false" customHeight="false" outlineLevel="0" collapsed="false">
      <c r="A14" s="70"/>
      <c r="B14" s="81"/>
      <c r="C14" s="108" t="n">
        <v>46201</v>
      </c>
      <c r="D14" s="109" t="n">
        <v>73</v>
      </c>
      <c r="E14" s="94"/>
      <c r="F14" s="70"/>
      <c r="G14" s="70"/>
      <c r="H14" s="82"/>
      <c r="I14" s="114"/>
      <c r="J14" s="70"/>
      <c r="K14" s="98"/>
      <c r="L14" s="99"/>
      <c r="M14" s="111"/>
      <c r="N14" s="70"/>
      <c r="O14" s="70"/>
      <c r="P14" s="82"/>
      <c r="Q14" s="91" t="s">
        <v>130</v>
      </c>
      <c r="R14" s="91"/>
      <c r="S14" s="91"/>
      <c r="T14" s="91"/>
      <c r="U14" s="91"/>
      <c r="V14" s="91"/>
      <c r="W14" s="70"/>
      <c r="X14" s="82"/>
      <c r="Y14" s="82"/>
      <c r="Z14" s="102"/>
      <c r="AA14" s="98"/>
      <c r="AB14" s="99"/>
      <c r="AC14" s="70"/>
      <c r="AD14" s="107"/>
      <c r="AE14" s="70"/>
      <c r="AF14" s="82"/>
      <c r="AG14" s="70"/>
      <c r="AH14" s="70"/>
      <c r="AI14" s="108" t="n">
        <v>46203</v>
      </c>
      <c r="AJ14" s="109" t="n">
        <v>79</v>
      </c>
      <c r="AK14" s="83"/>
      <c r="AL14" s="70"/>
      <c r="AM14" s="84"/>
    </row>
    <row r="15" customFormat="false" ht="15" hidden="false" customHeight="false" outlineLevel="0" collapsed="false">
      <c r="A15" s="70"/>
      <c r="B15" s="81"/>
      <c r="C15" s="95"/>
      <c r="D15" s="96"/>
      <c r="E15" s="97"/>
      <c r="F15" s="70"/>
      <c r="G15" s="103"/>
      <c r="H15" s="82"/>
      <c r="I15" s="114"/>
      <c r="J15" s="70"/>
      <c r="K15" s="70"/>
      <c r="L15" s="82"/>
      <c r="M15" s="114"/>
      <c r="N15" s="70"/>
      <c r="O15" s="70"/>
      <c r="P15" s="82"/>
      <c r="Q15" s="119"/>
      <c r="R15" s="119"/>
      <c r="S15" s="119"/>
      <c r="T15" s="119"/>
      <c r="U15" s="119"/>
      <c r="V15" s="119"/>
      <c r="W15" s="70"/>
      <c r="X15" s="82"/>
      <c r="Y15" s="82"/>
      <c r="Z15" s="107"/>
      <c r="AA15" s="70"/>
      <c r="AB15" s="82"/>
      <c r="AC15" s="70"/>
      <c r="AD15" s="107"/>
      <c r="AE15" s="103"/>
      <c r="AF15" s="82"/>
      <c r="AG15" s="70"/>
      <c r="AH15" s="70"/>
      <c r="AI15" s="95"/>
      <c r="AJ15" s="96"/>
      <c r="AK15" s="83"/>
      <c r="AL15" s="70"/>
      <c r="AM15" s="84"/>
    </row>
    <row r="16" customFormat="false" ht="15" hidden="false" customHeight="false" outlineLevel="0" collapsed="false">
      <c r="A16" s="70"/>
      <c r="B16" s="81"/>
      <c r="C16" s="98"/>
      <c r="D16" s="99"/>
      <c r="E16" s="100"/>
      <c r="F16" s="101"/>
      <c r="G16" s="108" t="n">
        <v>46207</v>
      </c>
      <c r="H16" s="109" t="n">
        <v>90</v>
      </c>
      <c r="I16" s="120"/>
      <c r="J16" s="70"/>
      <c r="K16" s="70"/>
      <c r="L16" s="82"/>
      <c r="M16" s="114"/>
      <c r="N16" s="70"/>
      <c r="O16" s="70"/>
      <c r="P16" s="82"/>
      <c r="Q16" s="119"/>
      <c r="R16" s="119"/>
      <c r="S16" s="119"/>
      <c r="T16" s="119"/>
      <c r="U16" s="119"/>
      <c r="V16" s="119"/>
      <c r="W16" s="70"/>
      <c r="X16" s="82"/>
      <c r="Y16" s="82"/>
      <c r="Z16" s="107"/>
      <c r="AA16" s="70"/>
      <c r="AB16" s="82"/>
      <c r="AC16" s="70"/>
      <c r="AD16" s="107"/>
      <c r="AE16" s="108" t="n">
        <v>46208</v>
      </c>
      <c r="AF16" s="109" t="n">
        <v>92</v>
      </c>
      <c r="AG16" s="70"/>
      <c r="AH16" s="102"/>
      <c r="AI16" s="98"/>
      <c r="AJ16" s="99"/>
      <c r="AK16" s="83"/>
      <c r="AL16" s="70"/>
      <c r="AM16" s="84"/>
    </row>
    <row r="17" customFormat="false" ht="15" hidden="false" customHeight="false" outlineLevel="0" collapsed="false">
      <c r="A17" s="70"/>
      <c r="B17" s="81"/>
      <c r="C17" s="103"/>
      <c r="D17" s="82"/>
      <c r="E17" s="104"/>
      <c r="F17" s="105"/>
      <c r="G17" s="95"/>
      <c r="H17" s="96"/>
      <c r="I17" s="121"/>
      <c r="J17" s="70"/>
      <c r="K17" s="70"/>
      <c r="L17" s="82"/>
      <c r="M17" s="114"/>
      <c r="N17" s="70"/>
      <c r="O17" s="70"/>
      <c r="P17" s="82"/>
      <c r="Q17" s="82"/>
      <c r="R17" s="70"/>
      <c r="S17" s="70"/>
      <c r="T17" s="70"/>
      <c r="U17" s="82"/>
      <c r="V17" s="70"/>
      <c r="W17" s="70"/>
      <c r="X17" s="82"/>
      <c r="Y17" s="82"/>
      <c r="Z17" s="107"/>
      <c r="AA17" s="70"/>
      <c r="AB17" s="82"/>
      <c r="AC17" s="70"/>
      <c r="AD17" s="115"/>
      <c r="AE17" s="95"/>
      <c r="AF17" s="96"/>
      <c r="AG17" s="106"/>
      <c r="AH17" s="107"/>
      <c r="AI17" s="103"/>
      <c r="AJ17" s="82"/>
      <c r="AK17" s="83"/>
      <c r="AL17" s="70"/>
      <c r="AM17" s="84"/>
    </row>
    <row r="18" customFormat="false" ht="15" hidden="false" customHeight="false" outlineLevel="0" collapsed="false">
      <c r="A18" s="70"/>
      <c r="B18" s="81"/>
      <c r="C18" s="108" t="n">
        <v>46202</v>
      </c>
      <c r="D18" s="109" t="n">
        <v>75</v>
      </c>
      <c r="E18" s="110"/>
      <c r="F18" s="101"/>
      <c r="G18" s="98"/>
      <c r="H18" s="99"/>
      <c r="I18" s="97"/>
      <c r="J18" s="70"/>
      <c r="K18" s="70"/>
      <c r="L18" s="82"/>
      <c r="M18" s="114"/>
      <c r="N18" s="70"/>
      <c r="O18" s="91" t="s">
        <v>131</v>
      </c>
      <c r="P18" s="91"/>
      <c r="Q18" s="89"/>
      <c r="R18" s="70"/>
      <c r="S18" s="70"/>
      <c r="T18" s="70"/>
      <c r="U18" s="82"/>
      <c r="V18" s="70"/>
      <c r="W18" s="91" t="s">
        <v>131</v>
      </c>
      <c r="X18" s="91"/>
      <c r="Y18" s="70"/>
      <c r="Z18" s="107"/>
      <c r="AA18" s="70"/>
      <c r="AB18" s="82"/>
      <c r="AC18" s="70"/>
      <c r="AD18" s="70"/>
      <c r="AE18" s="98"/>
      <c r="AF18" s="99"/>
      <c r="AG18" s="70"/>
      <c r="AH18" s="107"/>
      <c r="AI18" s="108" t="n">
        <v>46204</v>
      </c>
      <c r="AJ18" s="109" t="n">
        <v>80</v>
      </c>
      <c r="AK18" s="83"/>
      <c r="AL18" s="70"/>
      <c r="AM18" s="84"/>
    </row>
    <row r="19" customFormat="false" ht="15" hidden="false" customHeight="false" outlineLevel="0" collapsed="false">
      <c r="A19" s="70"/>
      <c r="B19" s="81"/>
      <c r="C19" s="95"/>
      <c r="D19" s="96"/>
      <c r="E19" s="104"/>
      <c r="F19" s="112"/>
      <c r="G19" s="70"/>
      <c r="H19" s="82"/>
      <c r="I19" s="82"/>
      <c r="J19" s="70"/>
      <c r="K19" s="70"/>
      <c r="L19" s="82"/>
      <c r="M19" s="114"/>
      <c r="N19" s="70"/>
      <c r="O19" s="92" t="n">
        <v>46217</v>
      </c>
      <c r="P19" s="122" t="n">
        <v>101</v>
      </c>
      <c r="Q19" s="94"/>
      <c r="R19" s="70"/>
      <c r="S19" s="70"/>
      <c r="T19" s="70"/>
      <c r="U19" s="82"/>
      <c r="V19" s="70"/>
      <c r="W19" s="92" t="n">
        <v>46218</v>
      </c>
      <c r="X19" s="122" t="n">
        <v>102</v>
      </c>
      <c r="Y19" s="70"/>
      <c r="Z19" s="107"/>
      <c r="AA19" s="70"/>
      <c r="AB19" s="82"/>
      <c r="AC19" s="70"/>
      <c r="AD19" s="70"/>
      <c r="AE19" s="70"/>
      <c r="AF19" s="82"/>
      <c r="AG19" s="70"/>
      <c r="AH19" s="115"/>
      <c r="AI19" s="95"/>
      <c r="AJ19" s="96"/>
      <c r="AK19" s="83"/>
      <c r="AL19" s="70"/>
      <c r="AM19" s="84"/>
    </row>
    <row r="20" customFormat="false" ht="15" hidden="false" customHeight="false" outlineLevel="0" collapsed="false">
      <c r="A20" s="70"/>
      <c r="B20" s="81"/>
      <c r="C20" s="98"/>
      <c r="D20" s="99"/>
      <c r="E20" s="116"/>
      <c r="F20" s="70"/>
      <c r="G20" s="70"/>
      <c r="H20" s="82"/>
      <c r="I20" s="82"/>
      <c r="J20" s="70"/>
      <c r="K20" s="70"/>
      <c r="L20" s="82"/>
      <c r="M20" s="114"/>
      <c r="N20" s="117"/>
      <c r="O20" s="95"/>
      <c r="P20" s="96"/>
      <c r="Q20" s="97"/>
      <c r="R20" s="70"/>
      <c r="S20" s="91" t="s">
        <v>132</v>
      </c>
      <c r="T20" s="91"/>
      <c r="U20" s="82"/>
      <c r="V20" s="70"/>
      <c r="W20" s="95"/>
      <c r="X20" s="96"/>
      <c r="Y20" s="118"/>
      <c r="Z20" s="107"/>
      <c r="AA20" s="70"/>
      <c r="AB20" s="82"/>
      <c r="AC20" s="70"/>
      <c r="AD20" s="70"/>
      <c r="AE20" s="70"/>
      <c r="AF20" s="82"/>
      <c r="AG20" s="70"/>
      <c r="AH20" s="70"/>
      <c r="AI20" s="98"/>
      <c r="AJ20" s="99"/>
      <c r="AK20" s="83"/>
      <c r="AL20" s="70"/>
      <c r="AM20" s="84"/>
    </row>
    <row r="21" customFormat="false" ht="15" hidden="false" customHeight="false" outlineLevel="0" collapsed="false">
      <c r="A21" s="70"/>
      <c r="B21" s="81"/>
      <c r="C21" s="103"/>
      <c r="D21" s="82"/>
      <c r="E21" s="82"/>
      <c r="F21" s="70"/>
      <c r="G21" s="70"/>
      <c r="H21" s="82"/>
      <c r="I21" s="82"/>
      <c r="J21" s="70"/>
      <c r="K21" s="70"/>
      <c r="L21" s="82"/>
      <c r="M21" s="114"/>
      <c r="N21" s="70"/>
      <c r="O21" s="98"/>
      <c r="P21" s="99"/>
      <c r="Q21" s="111"/>
      <c r="R21" s="70"/>
      <c r="S21" s="92" t="n">
        <v>46222</v>
      </c>
      <c r="T21" s="122" t="n">
        <v>104</v>
      </c>
      <c r="U21" s="90"/>
      <c r="V21" s="102"/>
      <c r="W21" s="98"/>
      <c r="X21" s="99"/>
      <c r="Y21" s="70"/>
      <c r="Z21" s="107"/>
      <c r="AA21" s="70"/>
      <c r="AB21" s="82"/>
      <c r="AC21" s="70"/>
      <c r="AD21" s="70"/>
      <c r="AE21" s="70"/>
      <c r="AF21" s="82"/>
      <c r="AG21" s="70"/>
      <c r="AH21" s="70"/>
      <c r="AI21" s="103"/>
      <c r="AJ21" s="82"/>
      <c r="AK21" s="83"/>
      <c r="AL21" s="70"/>
      <c r="AM21" s="84"/>
    </row>
    <row r="22" customFormat="false" ht="15" hidden="false" customHeight="false" outlineLevel="0" collapsed="false">
      <c r="A22" s="70"/>
      <c r="B22" s="81"/>
      <c r="C22" s="108" t="n">
        <v>46205</v>
      </c>
      <c r="D22" s="109" t="n">
        <v>83</v>
      </c>
      <c r="E22" s="94"/>
      <c r="F22" s="70"/>
      <c r="G22" s="70"/>
      <c r="H22" s="82"/>
      <c r="I22" s="82"/>
      <c r="J22" s="70"/>
      <c r="K22" s="70"/>
      <c r="L22" s="82"/>
      <c r="M22" s="114"/>
      <c r="N22" s="70"/>
      <c r="O22" s="70"/>
      <c r="P22" s="82"/>
      <c r="Q22" s="123"/>
      <c r="R22" s="97"/>
      <c r="S22" s="95"/>
      <c r="T22" s="96"/>
      <c r="U22" s="124"/>
      <c r="V22" s="125"/>
      <c r="W22" s="70"/>
      <c r="X22" s="82"/>
      <c r="Y22" s="82"/>
      <c r="Z22" s="107"/>
      <c r="AA22" s="70"/>
      <c r="AB22" s="82"/>
      <c r="AC22" s="70"/>
      <c r="AD22" s="70"/>
      <c r="AE22" s="70"/>
      <c r="AF22" s="82"/>
      <c r="AG22" s="70"/>
      <c r="AH22" s="70"/>
      <c r="AI22" s="108" t="n">
        <v>46206</v>
      </c>
      <c r="AJ22" s="109" t="n">
        <v>86</v>
      </c>
      <c r="AK22" s="83"/>
      <c r="AL22" s="70"/>
      <c r="AM22" s="84"/>
    </row>
    <row r="23" customFormat="false" ht="15" hidden="false" customHeight="false" outlineLevel="0" collapsed="false">
      <c r="A23" s="70"/>
      <c r="B23" s="81"/>
      <c r="C23" s="95"/>
      <c r="D23" s="96"/>
      <c r="E23" s="97"/>
      <c r="F23" s="70"/>
      <c r="G23" s="103"/>
      <c r="H23" s="82"/>
      <c r="I23" s="82"/>
      <c r="J23" s="70"/>
      <c r="K23" s="70"/>
      <c r="L23" s="82"/>
      <c r="M23" s="114"/>
      <c r="N23" s="70"/>
      <c r="O23" s="70"/>
      <c r="P23" s="82"/>
      <c r="Q23" s="126"/>
      <c r="R23" s="111"/>
      <c r="S23" s="98"/>
      <c r="T23" s="99"/>
      <c r="U23" s="82"/>
      <c r="V23" s="127"/>
      <c r="W23" s="70"/>
      <c r="X23" s="82"/>
      <c r="Y23" s="82"/>
      <c r="Z23" s="107"/>
      <c r="AA23" s="70"/>
      <c r="AB23" s="82"/>
      <c r="AC23" s="70"/>
      <c r="AD23" s="70"/>
      <c r="AE23" s="103"/>
      <c r="AF23" s="82"/>
      <c r="AG23" s="70"/>
      <c r="AH23" s="70"/>
      <c r="AI23" s="95"/>
      <c r="AJ23" s="96"/>
      <c r="AK23" s="83"/>
      <c r="AL23" s="70"/>
      <c r="AM23" s="84"/>
    </row>
    <row r="24" customFormat="false" ht="15" hidden="false" customHeight="false" outlineLevel="0" collapsed="false">
      <c r="A24" s="70"/>
      <c r="B24" s="81"/>
      <c r="C24" s="98"/>
      <c r="D24" s="99"/>
      <c r="E24" s="100"/>
      <c r="F24" s="101"/>
      <c r="G24" s="108" t="n">
        <v>46209</v>
      </c>
      <c r="H24" s="109" t="n">
        <v>93</v>
      </c>
      <c r="I24" s="94"/>
      <c r="J24" s="70"/>
      <c r="K24" s="70"/>
      <c r="L24" s="82"/>
      <c r="M24" s="114"/>
      <c r="N24" s="70"/>
      <c r="O24" s="70"/>
      <c r="P24" s="82"/>
      <c r="Q24" s="126"/>
      <c r="R24" s="70"/>
      <c r="S24" s="70"/>
      <c r="T24" s="70"/>
      <c r="U24" s="82"/>
      <c r="V24" s="128"/>
      <c r="W24" s="70"/>
      <c r="X24" s="82"/>
      <c r="Y24" s="82"/>
      <c r="Z24" s="107"/>
      <c r="AA24" s="70"/>
      <c r="AB24" s="82"/>
      <c r="AC24" s="70"/>
      <c r="AD24" s="70"/>
      <c r="AE24" s="108" t="n">
        <v>46210</v>
      </c>
      <c r="AF24" s="109" t="n">
        <v>95</v>
      </c>
      <c r="AG24" s="70"/>
      <c r="AH24" s="102"/>
      <c r="AI24" s="98"/>
      <c r="AJ24" s="99"/>
      <c r="AK24" s="83"/>
      <c r="AL24" s="70"/>
      <c r="AM24" s="84"/>
    </row>
    <row r="25" customFormat="false" ht="15" hidden="false" customHeight="false" outlineLevel="0" collapsed="false">
      <c r="A25" s="70"/>
      <c r="B25" s="81"/>
      <c r="C25" s="103"/>
      <c r="D25" s="82"/>
      <c r="E25" s="104"/>
      <c r="F25" s="105"/>
      <c r="G25" s="95"/>
      <c r="H25" s="96"/>
      <c r="I25" s="97"/>
      <c r="J25" s="70"/>
      <c r="K25" s="70"/>
      <c r="L25" s="82"/>
      <c r="M25" s="114"/>
      <c r="N25" s="70"/>
      <c r="O25" s="70"/>
      <c r="P25" s="82"/>
      <c r="Q25" s="126"/>
      <c r="R25" s="70"/>
      <c r="S25" s="129"/>
      <c r="T25" s="129"/>
      <c r="U25" s="82"/>
      <c r="V25" s="128"/>
      <c r="W25" s="70"/>
      <c r="X25" s="82"/>
      <c r="Y25" s="82"/>
      <c r="Z25" s="107"/>
      <c r="AA25" s="70"/>
      <c r="AB25" s="82"/>
      <c r="AC25" s="70"/>
      <c r="AD25" s="70"/>
      <c r="AE25" s="95"/>
      <c r="AF25" s="96"/>
      <c r="AG25" s="106"/>
      <c r="AH25" s="107"/>
      <c r="AI25" s="103"/>
      <c r="AJ25" s="82"/>
      <c r="AK25" s="83"/>
      <c r="AL25" s="70"/>
      <c r="AM25" s="84"/>
    </row>
    <row r="26" customFormat="false" ht="15" hidden="false" customHeight="false" outlineLevel="0" collapsed="false">
      <c r="A26" s="70"/>
      <c r="B26" s="81"/>
      <c r="C26" s="108" t="n">
        <v>46205</v>
      </c>
      <c r="D26" s="109" t="n">
        <v>84</v>
      </c>
      <c r="E26" s="110"/>
      <c r="F26" s="101"/>
      <c r="G26" s="98"/>
      <c r="H26" s="99"/>
      <c r="I26" s="111"/>
      <c r="J26" s="70"/>
      <c r="K26" s="70"/>
      <c r="L26" s="82"/>
      <c r="M26" s="114"/>
      <c r="N26" s="70"/>
      <c r="O26" s="70"/>
      <c r="P26" s="82"/>
      <c r="Q26" s="126"/>
      <c r="R26" s="70"/>
      <c r="S26" s="91" t="s">
        <v>133</v>
      </c>
      <c r="T26" s="91"/>
      <c r="U26" s="82"/>
      <c r="V26" s="128"/>
      <c r="W26" s="70"/>
      <c r="X26" s="82"/>
      <c r="Y26" s="82"/>
      <c r="Z26" s="107"/>
      <c r="AA26" s="70"/>
      <c r="AB26" s="82"/>
      <c r="AC26" s="70"/>
      <c r="AD26" s="102"/>
      <c r="AE26" s="98"/>
      <c r="AF26" s="99"/>
      <c r="AG26" s="70"/>
      <c r="AH26" s="107"/>
      <c r="AI26" s="108" t="n">
        <v>46206</v>
      </c>
      <c r="AJ26" s="109" t="n">
        <v>88</v>
      </c>
      <c r="AK26" s="83"/>
      <c r="AL26" s="70"/>
      <c r="AM26" s="84"/>
    </row>
    <row r="27" customFormat="false" ht="15" hidden="false" customHeight="false" outlineLevel="0" collapsed="false">
      <c r="A27" s="70"/>
      <c r="B27" s="81"/>
      <c r="C27" s="95"/>
      <c r="D27" s="96"/>
      <c r="E27" s="104"/>
      <c r="F27" s="112"/>
      <c r="G27" s="70"/>
      <c r="H27" s="82"/>
      <c r="I27" s="114"/>
      <c r="J27" s="70"/>
      <c r="K27" s="103"/>
      <c r="L27" s="82"/>
      <c r="M27" s="114"/>
      <c r="N27" s="70"/>
      <c r="O27" s="70"/>
      <c r="P27" s="82"/>
      <c r="Q27" s="126"/>
      <c r="R27" s="70"/>
      <c r="S27" s="108" t="n">
        <v>46221</v>
      </c>
      <c r="T27" s="130" t="n">
        <v>103</v>
      </c>
      <c r="U27" s="90"/>
      <c r="V27" s="128"/>
      <c r="W27" s="70"/>
      <c r="X27" s="82"/>
      <c r="Y27" s="82"/>
      <c r="Z27" s="107"/>
      <c r="AA27" s="103"/>
      <c r="AB27" s="82"/>
      <c r="AC27" s="70"/>
      <c r="AD27" s="107"/>
      <c r="AE27" s="70"/>
      <c r="AF27" s="82"/>
      <c r="AG27" s="70"/>
      <c r="AH27" s="115"/>
      <c r="AI27" s="95"/>
      <c r="AJ27" s="96"/>
      <c r="AK27" s="83"/>
      <c r="AL27" s="70"/>
      <c r="AM27" s="84"/>
    </row>
    <row r="28" customFormat="false" ht="15" hidden="false" customHeight="false" outlineLevel="0" collapsed="false">
      <c r="A28" s="70"/>
      <c r="B28" s="81"/>
      <c r="C28" s="98"/>
      <c r="D28" s="99"/>
      <c r="E28" s="116"/>
      <c r="F28" s="70"/>
      <c r="G28" s="70"/>
      <c r="H28" s="82"/>
      <c r="I28" s="114"/>
      <c r="J28" s="70"/>
      <c r="K28" s="108" t="n">
        <v>46213</v>
      </c>
      <c r="L28" s="109" t="n">
        <v>98</v>
      </c>
      <c r="M28" s="120"/>
      <c r="N28" s="70"/>
      <c r="O28" s="70"/>
      <c r="P28" s="82"/>
      <c r="Q28" s="131"/>
      <c r="R28" s="132"/>
      <c r="S28" s="95"/>
      <c r="T28" s="96"/>
      <c r="U28" s="133"/>
      <c r="V28" s="134"/>
      <c r="W28" s="70"/>
      <c r="X28" s="82"/>
      <c r="Y28" s="82"/>
      <c r="Z28" s="107"/>
      <c r="AA28" s="108" t="n">
        <v>46215</v>
      </c>
      <c r="AB28" s="130" t="n">
        <v>100</v>
      </c>
      <c r="AC28" s="70"/>
      <c r="AD28" s="107"/>
      <c r="AE28" s="70"/>
      <c r="AF28" s="82"/>
      <c r="AG28" s="70"/>
      <c r="AH28" s="70"/>
      <c r="AI28" s="98"/>
      <c r="AJ28" s="99"/>
      <c r="AK28" s="83"/>
      <c r="AL28" s="70"/>
      <c r="AM28" s="84"/>
    </row>
    <row r="29" customFormat="false" ht="15" hidden="false" customHeight="false" outlineLevel="0" collapsed="false">
      <c r="A29" s="70"/>
      <c r="B29" s="81"/>
      <c r="C29" s="103"/>
      <c r="D29" s="82"/>
      <c r="E29" s="82"/>
      <c r="F29" s="70"/>
      <c r="G29" s="70"/>
      <c r="H29" s="82"/>
      <c r="I29" s="114"/>
      <c r="J29" s="117"/>
      <c r="K29" s="95"/>
      <c r="L29" s="96"/>
      <c r="M29" s="121"/>
      <c r="N29" s="70"/>
      <c r="O29" s="70"/>
      <c r="P29" s="82"/>
      <c r="Q29" s="82"/>
      <c r="R29" s="70"/>
      <c r="S29" s="98"/>
      <c r="T29" s="99"/>
      <c r="U29" s="90"/>
      <c r="V29" s="70"/>
      <c r="W29" s="70"/>
      <c r="X29" s="82"/>
      <c r="Y29" s="82"/>
      <c r="Z29" s="115"/>
      <c r="AA29" s="95"/>
      <c r="AB29" s="96"/>
      <c r="AC29" s="118"/>
      <c r="AD29" s="107"/>
      <c r="AE29" s="70"/>
      <c r="AF29" s="82"/>
      <c r="AG29" s="70"/>
      <c r="AH29" s="70"/>
      <c r="AI29" s="103"/>
      <c r="AJ29" s="82"/>
      <c r="AK29" s="83"/>
      <c r="AL29" s="70"/>
      <c r="AM29" s="84"/>
    </row>
    <row r="30" customFormat="false" ht="15" hidden="false" customHeight="false" outlineLevel="0" collapsed="false">
      <c r="A30" s="70"/>
      <c r="B30" s="81"/>
      <c r="C30" s="108" t="n">
        <v>46204</v>
      </c>
      <c r="D30" s="109" t="n">
        <v>81</v>
      </c>
      <c r="E30" s="94"/>
      <c r="F30" s="70"/>
      <c r="G30" s="70"/>
      <c r="H30" s="82"/>
      <c r="I30" s="114"/>
      <c r="J30" s="70"/>
      <c r="K30" s="98"/>
      <c r="L30" s="99"/>
      <c r="M30" s="97"/>
      <c r="N30" s="70"/>
      <c r="O30" s="70"/>
      <c r="P30" s="82"/>
      <c r="Q30" s="82"/>
      <c r="R30" s="70"/>
      <c r="S30" s="90"/>
      <c r="T30" s="90"/>
      <c r="U30" s="90"/>
      <c r="V30" s="70"/>
      <c r="W30" s="70"/>
      <c r="X30" s="82"/>
      <c r="Y30" s="82"/>
      <c r="Z30" s="70"/>
      <c r="AA30" s="98"/>
      <c r="AB30" s="99"/>
      <c r="AC30" s="70"/>
      <c r="AD30" s="107"/>
      <c r="AE30" s="70"/>
      <c r="AF30" s="82"/>
      <c r="AG30" s="70"/>
      <c r="AH30" s="70"/>
      <c r="AI30" s="108" t="n">
        <v>46205</v>
      </c>
      <c r="AJ30" s="109" t="n">
        <v>85</v>
      </c>
      <c r="AK30" s="83"/>
      <c r="AL30" s="70"/>
      <c r="AM30" s="84"/>
    </row>
    <row r="31" customFormat="false" ht="15" hidden="false" customHeight="false" outlineLevel="0" collapsed="false">
      <c r="A31" s="70"/>
      <c r="B31" s="81"/>
      <c r="C31" s="95"/>
      <c r="D31" s="96"/>
      <c r="E31" s="97"/>
      <c r="F31" s="70"/>
      <c r="G31" s="103"/>
      <c r="H31" s="82"/>
      <c r="I31" s="114"/>
      <c r="J31" s="70"/>
      <c r="K31" s="70"/>
      <c r="L31" s="82"/>
      <c r="M31" s="82"/>
      <c r="N31" s="70"/>
      <c r="O31" s="70"/>
      <c r="P31" s="82"/>
      <c r="Q31" s="82"/>
      <c r="R31" s="70"/>
      <c r="S31" s="91" t="s">
        <v>134</v>
      </c>
      <c r="T31" s="91"/>
      <c r="U31" s="82"/>
      <c r="V31" s="70"/>
      <c r="W31" s="70"/>
      <c r="X31" s="82"/>
      <c r="Y31" s="82"/>
      <c r="Z31" s="70"/>
      <c r="AA31" s="70"/>
      <c r="AB31" s="82"/>
      <c r="AC31" s="70"/>
      <c r="AD31" s="107"/>
      <c r="AE31" s="103"/>
      <c r="AF31" s="82"/>
      <c r="AG31" s="70"/>
      <c r="AH31" s="70"/>
      <c r="AI31" s="95"/>
      <c r="AJ31" s="96"/>
      <c r="AK31" s="83"/>
      <c r="AL31" s="70"/>
      <c r="AM31" s="84"/>
    </row>
    <row r="32" customFormat="false" ht="15" hidden="false" customHeight="false" outlineLevel="0" collapsed="false">
      <c r="A32" s="70"/>
      <c r="B32" s="81"/>
      <c r="C32" s="98"/>
      <c r="D32" s="99"/>
      <c r="E32" s="100"/>
      <c r="F32" s="101"/>
      <c r="G32" s="108" t="n">
        <v>46209</v>
      </c>
      <c r="H32" s="109" t="n">
        <v>94</v>
      </c>
      <c r="I32" s="120"/>
      <c r="J32" s="70"/>
      <c r="K32" s="70"/>
      <c r="L32" s="82"/>
      <c r="M32" s="82"/>
      <c r="N32" s="70"/>
      <c r="O32" s="70"/>
      <c r="P32" s="82"/>
      <c r="Q32" s="82"/>
      <c r="R32" s="70"/>
      <c r="S32" s="135"/>
      <c r="T32" s="135"/>
      <c r="U32" s="82"/>
      <c r="V32" s="70"/>
      <c r="W32" s="70"/>
      <c r="X32" s="82"/>
      <c r="Y32" s="82"/>
      <c r="Z32" s="70"/>
      <c r="AA32" s="70"/>
      <c r="AB32" s="82"/>
      <c r="AC32" s="70"/>
      <c r="AD32" s="107"/>
      <c r="AE32" s="108" t="n">
        <v>46210</v>
      </c>
      <c r="AF32" s="109" t="n">
        <v>96</v>
      </c>
      <c r="AG32" s="70"/>
      <c r="AH32" s="102"/>
      <c r="AI32" s="98"/>
      <c r="AJ32" s="99"/>
      <c r="AK32" s="83"/>
      <c r="AL32" s="70"/>
      <c r="AM32" s="84"/>
    </row>
    <row r="33" customFormat="false" ht="15" hidden="false" customHeight="false" outlineLevel="0" collapsed="false">
      <c r="A33" s="70"/>
      <c r="B33" s="81"/>
      <c r="C33" s="103"/>
      <c r="D33" s="82"/>
      <c r="E33" s="104"/>
      <c r="F33" s="105"/>
      <c r="G33" s="95"/>
      <c r="H33" s="96"/>
      <c r="I33" s="121"/>
      <c r="J33" s="70"/>
      <c r="K33" s="70"/>
      <c r="L33" s="82"/>
      <c r="M33" s="82"/>
      <c r="N33" s="70"/>
      <c r="O33" s="70"/>
      <c r="P33" s="82"/>
      <c r="Q33" s="82"/>
      <c r="R33" s="70"/>
      <c r="S33" s="70"/>
      <c r="T33" s="70"/>
      <c r="U33" s="82"/>
      <c r="V33" s="70"/>
      <c r="W33" s="70"/>
      <c r="X33" s="82"/>
      <c r="Y33" s="82"/>
      <c r="Z33" s="70"/>
      <c r="AA33" s="70"/>
      <c r="AB33" s="82"/>
      <c r="AC33" s="70"/>
      <c r="AD33" s="115"/>
      <c r="AE33" s="95"/>
      <c r="AF33" s="96"/>
      <c r="AG33" s="106"/>
      <c r="AH33" s="107"/>
      <c r="AI33" s="103"/>
      <c r="AJ33" s="82"/>
      <c r="AK33" s="83"/>
      <c r="AL33" s="70"/>
      <c r="AM33" s="84"/>
    </row>
    <row r="34" customFormat="false" ht="15" hidden="false" customHeight="false" outlineLevel="0" collapsed="false">
      <c r="A34" s="70"/>
      <c r="B34" s="81"/>
      <c r="C34" s="108" t="n">
        <v>46204</v>
      </c>
      <c r="D34" s="109" t="n">
        <v>82</v>
      </c>
      <c r="E34" s="110"/>
      <c r="F34" s="101"/>
      <c r="G34" s="98"/>
      <c r="H34" s="99"/>
      <c r="I34" s="97"/>
      <c r="J34" s="70"/>
      <c r="K34" s="70"/>
      <c r="L34" s="82"/>
      <c r="M34" s="82"/>
      <c r="N34" s="70"/>
      <c r="O34" s="70"/>
      <c r="P34" s="82"/>
      <c r="Q34" s="82"/>
      <c r="R34" s="70"/>
      <c r="S34" s="70"/>
      <c r="T34" s="70"/>
      <c r="U34" s="82"/>
      <c r="V34" s="70"/>
      <c r="W34" s="70"/>
      <c r="X34" s="82"/>
      <c r="Y34" s="82"/>
      <c r="Z34" s="70"/>
      <c r="AA34" s="70"/>
      <c r="AB34" s="82"/>
      <c r="AC34" s="70"/>
      <c r="AD34" s="70"/>
      <c r="AE34" s="98"/>
      <c r="AF34" s="99"/>
      <c r="AG34" s="70"/>
      <c r="AH34" s="107"/>
      <c r="AI34" s="108" t="n">
        <v>46206</v>
      </c>
      <c r="AJ34" s="109" t="n">
        <v>87</v>
      </c>
      <c r="AK34" s="83"/>
      <c r="AL34" s="70"/>
      <c r="AM34" s="84"/>
    </row>
    <row r="35" customFormat="false" ht="15" hidden="false" customHeight="false" outlineLevel="0" collapsed="false">
      <c r="A35" s="70"/>
      <c r="B35" s="81"/>
      <c r="C35" s="95"/>
      <c r="D35" s="96"/>
      <c r="E35" s="104"/>
      <c r="F35" s="112"/>
      <c r="G35" s="70"/>
      <c r="H35" s="82"/>
      <c r="I35" s="82"/>
      <c r="J35" s="70"/>
      <c r="K35" s="70"/>
      <c r="L35" s="82"/>
      <c r="M35" s="82"/>
      <c r="N35" s="70"/>
      <c r="O35" s="70"/>
      <c r="P35" s="82"/>
      <c r="Q35" s="82"/>
      <c r="R35" s="70"/>
      <c r="S35" s="70"/>
      <c r="T35" s="70"/>
      <c r="U35" s="82"/>
      <c r="V35" s="70"/>
      <c r="W35" s="70"/>
      <c r="X35" s="82"/>
      <c r="Y35" s="82"/>
      <c r="Z35" s="70"/>
      <c r="AA35" s="70"/>
      <c r="AB35" s="82"/>
      <c r="AC35" s="70"/>
      <c r="AD35" s="70"/>
      <c r="AE35" s="70"/>
      <c r="AF35" s="82"/>
      <c r="AG35" s="70"/>
      <c r="AH35" s="115"/>
      <c r="AI35" s="95"/>
      <c r="AJ35" s="96"/>
      <c r="AK35" s="83"/>
      <c r="AL35" s="70"/>
      <c r="AM35" s="84"/>
    </row>
    <row r="36" customFormat="false" ht="15" hidden="false" customHeight="false" outlineLevel="0" collapsed="false">
      <c r="A36" s="70"/>
      <c r="B36" s="81"/>
      <c r="C36" s="98"/>
      <c r="D36" s="99"/>
      <c r="E36" s="116"/>
      <c r="F36" s="70"/>
      <c r="G36" s="70"/>
      <c r="H36" s="82"/>
      <c r="I36" s="82"/>
      <c r="J36" s="70"/>
      <c r="K36" s="70"/>
      <c r="L36" s="82"/>
      <c r="M36" s="82"/>
      <c r="N36" s="70"/>
      <c r="O36" s="70"/>
      <c r="P36" s="82"/>
      <c r="Q36" s="82"/>
      <c r="R36" s="70"/>
      <c r="S36" s="70"/>
      <c r="T36" s="70"/>
      <c r="U36" s="82"/>
      <c r="V36" s="70"/>
      <c r="W36" s="70"/>
      <c r="X36" s="82"/>
      <c r="Y36" s="82"/>
      <c r="Z36" s="70"/>
      <c r="AA36" s="70"/>
      <c r="AB36" s="82"/>
      <c r="AC36" s="70"/>
      <c r="AD36" s="70"/>
      <c r="AE36" s="70"/>
      <c r="AF36" s="82"/>
      <c r="AG36" s="70"/>
      <c r="AH36" s="70"/>
      <c r="AI36" s="98"/>
      <c r="AJ36" s="99"/>
      <c r="AK36" s="83"/>
      <c r="AL36" s="70"/>
      <c r="AM36" s="84"/>
    </row>
    <row r="37" customFormat="false" ht="15" hidden="false" customHeight="false" outlineLevel="0" collapsed="false">
      <c r="A37" s="70"/>
      <c r="B37" s="81"/>
      <c r="C37" s="70"/>
      <c r="D37" s="82"/>
      <c r="E37" s="82"/>
      <c r="F37" s="70"/>
      <c r="G37" s="70"/>
      <c r="H37" s="82"/>
      <c r="I37" s="82"/>
      <c r="J37" s="70"/>
      <c r="K37" s="70"/>
      <c r="L37" s="82"/>
      <c r="M37" s="82"/>
      <c r="N37" s="70"/>
      <c r="O37" s="70"/>
      <c r="P37" s="82"/>
      <c r="Q37" s="82"/>
      <c r="R37" s="70"/>
      <c r="S37" s="70"/>
      <c r="T37" s="70"/>
      <c r="U37" s="82"/>
      <c r="V37" s="70"/>
      <c r="W37" s="70"/>
      <c r="X37" s="82"/>
      <c r="Y37" s="82"/>
      <c r="Z37" s="70"/>
      <c r="AA37" s="70"/>
      <c r="AB37" s="82"/>
      <c r="AC37" s="70"/>
      <c r="AD37" s="70"/>
      <c r="AE37" s="70"/>
      <c r="AF37" s="82"/>
      <c r="AG37" s="70"/>
      <c r="AH37" s="70"/>
      <c r="AI37" s="70"/>
      <c r="AJ37" s="82"/>
      <c r="AK37" s="83"/>
      <c r="AL37" s="70"/>
      <c r="AM37" s="84"/>
    </row>
    <row r="38" customFormat="false" ht="15" hidden="false" customHeight="false" outlineLevel="0" collapsed="false">
      <c r="A38" s="84"/>
      <c r="B38" s="136"/>
      <c r="C38" s="84"/>
      <c r="D38" s="137"/>
      <c r="E38" s="137"/>
      <c r="F38" s="84"/>
      <c r="G38" s="84"/>
      <c r="H38" s="137"/>
      <c r="I38" s="137"/>
      <c r="J38" s="84"/>
      <c r="K38" s="84"/>
      <c r="L38" s="137"/>
      <c r="M38" s="137"/>
      <c r="N38" s="84"/>
      <c r="O38" s="84"/>
      <c r="P38" s="137"/>
      <c r="Q38" s="137"/>
      <c r="R38" s="84"/>
      <c r="S38" s="84"/>
      <c r="T38" s="84"/>
      <c r="U38" s="137"/>
      <c r="V38" s="84"/>
      <c r="W38" s="84"/>
      <c r="X38" s="137"/>
      <c r="Y38" s="137"/>
      <c r="Z38" s="84"/>
      <c r="AA38" s="84"/>
      <c r="AB38" s="137"/>
      <c r="AC38" s="84"/>
      <c r="AD38" s="84"/>
      <c r="AE38" s="84"/>
      <c r="AF38" s="137"/>
      <c r="AG38" s="84"/>
      <c r="AH38" s="84"/>
      <c r="AI38" s="84"/>
      <c r="AJ38" s="137"/>
      <c r="AK38" s="138"/>
      <c r="AL38" s="84"/>
      <c r="AM38" s="84"/>
    </row>
    <row r="39" customFormat="false" ht="15" hidden="false" customHeight="false" outlineLevel="0" collapsed="false">
      <c r="A39" s="84"/>
      <c r="B39" s="136"/>
      <c r="C39" s="84"/>
      <c r="D39" s="137"/>
      <c r="E39" s="137"/>
      <c r="F39" s="84"/>
      <c r="G39" s="84"/>
      <c r="H39" s="137"/>
      <c r="I39" s="137"/>
      <c r="J39" s="84"/>
      <c r="K39" s="84"/>
      <c r="L39" s="137"/>
      <c r="M39" s="137"/>
      <c r="N39" s="84"/>
      <c r="O39" s="84"/>
      <c r="P39" s="137"/>
      <c r="Q39" s="137"/>
      <c r="R39" s="84"/>
      <c r="S39" s="84"/>
      <c r="T39" s="84"/>
      <c r="U39" s="137"/>
      <c r="V39" s="84"/>
      <c r="W39" s="84"/>
      <c r="X39" s="137"/>
      <c r="Y39" s="137"/>
      <c r="Z39" s="84"/>
      <c r="AA39" s="84"/>
      <c r="AB39" s="137"/>
      <c r="AC39" s="84"/>
      <c r="AD39" s="84"/>
      <c r="AE39" s="84"/>
      <c r="AF39" s="137"/>
      <c r="AG39" s="84"/>
      <c r="AH39" s="84"/>
      <c r="AI39" s="84"/>
      <c r="AJ39" s="137"/>
      <c r="AK39" s="138"/>
      <c r="AL39" s="84"/>
      <c r="AM39" s="84"/>
    </row>
    <row r="40" customFormat="false" ht="15" hidden="false" customHeight="false" outlineLevel="0" collapsed="false">
      <c r="A40" s="84"/>
      <c r="B40" s="136"/>
      <c r="C40" s="84"/>
      <c r="D40" s="137"/>
      <c r="E40" s="137"/>
      <c r="F40" s="84"/>
      <c r="G40" s="84"/>
      <c r="H40" s="137"/>
      <c r="I40" s="137"/>
      <c r="J40" s="84"/>
      <c r="K40" s="84"/>
      <c r="L40" s="137"/>
      <c r="M40" s="137"/>
      <c r="N40" s="84"/>
      <c r="O40" s="84"/>
      <c r="P40" s="137"/>
      <c r="Q40" s="137"/>
      <c r="R40" s="84"/>
      <c r="S40" s="84"/>
      <c r="T40" s="84"/>
      <c r="U40" s="137"/>
      <c r="V40" s="84"/>
      <c r="W40" s="84"/>
      <c r="X40" s="137"/>
      <c r="Y40" s="137"/>
      <c r="Z40" s="84"/>
      <c r="AA40" s="84"/>
      <c r="AB40" s="137"/>
      <c r="AC40" s="84"/>
      <c r="AD40" s="84"/>
      <c r="AE40" s="84"/>
      <c r="AF40" s="137"/>
      <c r="AG40" s="84"/>
      <c r="AH40" s="84"/>
      <c r="AI40" s="84"/>
      <c r="AJ40" s="137"/>
      <c r="AK40" s="138"/>
      <c r="AL40" s="84"/>
      <c r="AM40" s="84"/>
    </row>
    <row r="41" customFormat="false" ht="15" hidden="false" customHeight="false" outlineLevel="0" collapsed="false">
      <c r="A41" s="84"/>
      <c r="B41" s="136"/>
      <c r="C41" s="84"/>
      <c r="D41" s="137"/>
      <c r="E41" s="137"/>
      <c r="F41" s="84"/>
      <c r="G41" s="84"/>
      <c r="H41" s="137"/>
      <c r="I41" s="137"/>
      <c r="J41" s="84"/>
      <c r="K41" s="84"/>
      <c r="L41" s="137"/>
      <c r="M41" s="137"/>
      <c r="N41" s="84"/>
      <c r="O41" s="84"/>
      <c r="P41" s="137"/>
      <c r="Q41" s="137"/>
      <c r="R41" s="84"/>
      <c r="S41" s="84"/>
      <c r="T41" s="84"/>
      <c r="U41" s="137"/>
      <c r="V41" s="84"/>
      <c r="W41" s="84"/>
      <c r="X41" s="137"/>
      <c r="Y41" s="137"/>
      <c r="Z41" s="84"/>
      <c r="AA41" s="84"/>
      <c r="AB41" s="137"/>
      <c r="AC41" s="84"/>
      <c r="AD41" s="84"/>
      <c r="AE41" s="84"/>
      <c r="AF41" s="137"/>
      <c r="AG41" s="84"/>
      <c r="AH41" s="84"/>
      <c r="AI41" s="84"/>
      <c r="AJ41" s="137"/>
      <c r="AK41" s="138"/>
      <c r="AL41" s="84"/>
      <c r="AM41" s="84"/>
    </row>
    <row r="42" customFormat="false" ht="15" hidden="false" customHeight="false" outlineLevel="0" collapsed="false">
      <c r="A42" s="84"/>
      <c r="B42" s="136"/>
      <c r="C42" s="84"/>
      <c r="D42" s="137"/>
      <c r="E42" s="137"/>
      <c r="F42" s="84"/>
      <c r="G42" s="84"/>
      <c r="H42" s="137"/>
      <c r="I42" s="137"/>
      <c r="J42" s="84"/>
      <c r="K42" s="84"/>
      <c r="L42" s="137"/>
      <c r="M42" s="137"/>
      <c r="N42" s="84"/>
      <c r="O42" s="84"/>
      <c r="P42" s="137"/>
      <c r="Q42" s="137"/>
      <c r="R42" s="84"/>
      <c r="S42" s="84"/>
      <c r="T42" s="84"/>
      <c r="U42" s="137"/>
      <c r="V42" s="84"/>
      <c r="W42" s="84"/>
      <c r="X42" s="137"/>
      <c r="Y42" s="137"/>
      <c r="Z42" s="84"/>
      <c r="AA42" s="84"/>
      <c r="AB42" s="137"/>
      <c r="AC42" s="84"/>
      <c r="AD42" s="84"/>
      <c r="AE42" s="84"/>
      <c r="AF42" s="137"/>
      <c r="AG42" s="84"/>
      <c r="AH42" s="84"/>
      <c r="AI42" s="84"/>
      <c r="AJ42" s="137"/>
      <c r="AK42" s="138"/>
      <c r="AL42" s="84"/>
      <c r="AM42" s="84"/>
    </row>
    <row r="43" customFormat="false" ht="15" hidden="false" customHeight="false" outlineLevel="0" collapsed="false">
      <c r="A43" s="84"/>
      <c r="B43" s="136"/>
      <c r="C43" s="84"/>
      <c r="D43" s="137"/>
      <c r="E43" s="137"/>
      <c r="F43" s="84"/>
      <c r="G43" s="84"/>
      <c r="H43" s="137"/>
      <c r="I43" s="137"/>
      <c r="J43" s="84"/>
      <c r="K43" s="84"/>
      <c r="L43" s="137"/>
      <c r="M43" s="137"/>
      <c r="N43" s="84"/>
      <c r="O43" s="84"/>
      <c r="P43" s="137"/>
      <c r="Q43" s="137"/>
      <c r="R43" s="84"/>
      <c r="S43" s="84"/>
      <c r="T43" s="84"/>
      <c r="U43" s="137"/>
      <c r="V43" s="84"/>
      <c r="W43" s="84"/>
      <c r="X43" s="137"/>
      <c r="Y43" s="137"/>
      <c r="Z43" s="84"/>
      <c r="AA43" s="84"/>
      <c r="AB43" s="137"/>
      <c r="AC43" s="84"/>
      <c r="AD43" s="84"/>
      <c r="AE43" s="84"/>
      <c r="AF43" s="137"/>
      <c r="AG43" s="84"/>
      <c r="AH43" s="84"/>
      <c r="AI43" s="84"/>
      <c r="AJ43" s="137"/>
      <c r="AK43" s="138"/>
      <c r="AL43" s="84"/>
      <c r="AM43" s="84"/>
    </row>
    <row r="44" customFormat="false" ht="15" hidden="false" customHeight="false" outlineLevel="0" collapsed="false">
      <c r="A44" s="84"/>
      <c r="B44" s="136"/>
      <c r="C44" s="84"/>
      <c r="D44" s="137"/>
      <c r="E44" s="137"/>
      <c r="F44" s="84"/>
      <c r="G44" s="84"/>
      <c r="H44" s="137"/>
      <c r="I44" s="137"/>
      <c r="J44" s="84"/>
      <c r="K44" s="84"/>
      <c r="L44" s="137"/>
      <c r="M44" s="137"/>
      <c r="N44" s="84"/>
      <c r="O44" s="84"/>
      <c r="P44" s="137"/>
      <c r="Q44" s="137"/>
      <c r="R44" s="84"/>
      <c r="S44" s="84"/>
      <c r="T44" s="84"/>
      <c r="U44" s="137"/>
      <c r="V44" s="84"/>
      <c r="W44" s="84"/>
      <c r="X44" s="137"/>
      <c r="Y44" s="137"/>
      <c r="Z44" s="84"/>
      <c r="AA44" s="84"/>
      <c r="AB44" s="137"/>
      <c r="AC44" s="84"/>
      <c r="AD44" s="84"/>
      <c r="AE44" s="84"/>
      <c r="AF44" s="137"/>
      <c r="AG44" s="84"/>
      <c r="AH44" s="84"/>
      <c r="AI44" s="84"/>
      <c r="AJ44" s="137"/>
      <c r="AK44" s="138"/>
      <c r="AL44" s="84"/>
      <c r="AM44" s="84"/>
    </row>
    <row r="45" customFormat="false" ht="15" hidden="false" customHeight="false" outlineLevel="0" collapsed="false">
      <c r="A45" s="84"/>
      <c r="B45" s="136"/>
      <c r="C45" s="84"/>
      <c r="D45" s="137"/>
      <c r="E45" s="137"/>
      <c r="F45" s="84"/>
      <c r="G45" s="84"/>
      <c r="H45" s="137"/>
      <c r="I45" s="137"/>
      <c r="J45" s="84"/>
      <c r="K45" s="84"/>
      <c r="L45" s="137"/>
      <c r="M45" s="137"/>
      <c r="N45" s="84"/>
      <c r="O45" s="84"/>
      <c r="P45" s="137"/>
      <c r="Q45" s="137"/>
      <c r="R45" s="84"/>
      <c r="S45" s="84"/>
      <c r="T45" s="84"/>
      <c r="U45" s="137"/>
      <c r="V45" s="84"/>
      <c r="W45" s="84"/>
      <c r="X45" s="137"/>
      <c r="Y45" s="137"/>
      <c r="Z45" s="84"/>
      <c r="AA45" s="84"/>
      <c r="AB45" s="137"/>
      <c r="AC45" s="84"/>
      <c r="AD45" s="84"/>
      <c r="AE45" s="84"/>
      <c r="AF45" s="137"/>
      <c r="AG45" s="84"/>
      <c r="AH45" s="84"/>
      <c r="AI45" s="84"/>
      <c r="AJ45" s="137"/>
      <c r="AK45" s="138"/>
      <c r="AL45" s="84"/>
      <c r="AM45" s="84"/>
    </row>
  </sheetData>
  <mergeCells count="16">
    <mergeCell ref="B2:AK2"/>
    <mergeCell ref="C5:D5"/>
    <mergeCell ref="AI5:AJ5"/>
    <mergeCell ref="G7:H7"/>
    <mergeCell ref="AE7:AF7"/>
    <mergeCell ref="K11:L11"/>
    <mergeCell ref="AA11:AB11"/>
    <mergeCell ref="Q14:V14"/>
    <mergeCell ref="Q15:V16"/>
    <mergeCell ref="O18:P18"/>
    <mergeCell ref="W18:X18"/>
    <mergeCell ref="S20:T20"/>
    <mergeCell ref="S25:T25"/>
    <mergeCell ref="S26:T26"/>
    <mergeCell ref="S31:T31"/>
    <mergeCell ref="S32:T3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2026-05-19T12:09:26Z</dcterms:created>
  <dc:creator>THIAGO LUIZ CORRÊA</dc:creator>
  <dc:description/>
  <dc:language>pt-BR</dc:language>
  <cp:lastModifiedBy/>
  <dcterms:modified xsi:type="dcterms:W3CDTF">2026-06-08T20:43:30Z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