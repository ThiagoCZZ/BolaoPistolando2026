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o.schlickmann\Downloads\"/>
    </mc:Choice>
  </mc:AlternateContent>
  <xr:revisionPtr revIDLastSave="0" documentId="13_ncr:1_{FD48CCE6-E4C1-4AA7-95F8-4C4BE2B18487}" xr6:coauthVersionLast="47" xr6:coauthVersionMax="47" xr10:uidLastSave="{00000000-0000-0000-0000-000000000000}"/>
  <bookViews>
    <workbookView xWindow="-120" yWindow="-120" windowWidth="29040" windowHeight="15720" xr2:uid="{2FAB9762-9002-4221-90DC-1459ADDAB04F}"/>
  </bookViews>
  <sheets>
    <sheet name="GRUPOS" sheetId="1" r:id="rId1"/>
    <sheet name="PONTUAÇÃO EXTRA" sheetId="5" r:id="rId2"/>
    <sheet name="MATA MATA (NÃO PREENCHER AINDA)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" l="1"/>
  <c r="N49" i="1"/>
  <c r="N46" i="1"/>
  <c r="N43" i="1"/>
  <c r="N40" i="1"/>
  <c r="D39" i="1"/>
  <c r="AA26" i="1"/>
  <c r="AA25" i="1"/>
  <c r="Q23" i="1"/>
  <c r="Q18" i="1"/>
  <c r="Q16" i="1"/>
  <c r="AA15" i="1"/>
  <c r="Q11" i="1"/>
  <c r="D10" i="1"/>
  <c r="AA8" i="1"/>
  <c r="D8" i="1"/>
  <c r="N7" i="1"/>
  <c r="AA6" i="1"/>
</calcChain>
</file>

<file path=xl/sharedStrings.xml><?xml version="1.0" encoding="utf-8"?>
<sst xmlns="http://schemas.openxmlformats.org/spreadsheetml/2006/main" count="331" uniqueCount="135">
  <si>
    <r>
      <rPr>
        <b/>
        <sz val="26"/>
        <color rgb="FFE75B30"/>
        <rFont val="Calibri"/>
        <family val="2"/>
      </rPr>
      <t>COPA DO MUNDO 2026</t>
    </r>
    <r>
      <rPr>
        <b/>
        <sz val="26"/>
        <color rgb="FF184F8E"/>
        <rFont val="Calibri"/>
        <family val="2"/>
      </rPr>
      <t xml:space="preserve"> - FASE DE GRUPOS</t>
    </r>
  </si>
  <si>
    <t>GRUPO A</t>
  </si>
  <si>
    <t>GRUPO B</t>
  </si>
  <si>
    <t>11/06/2026 - 16:00</t>
  </si>
  <si>
    <t>México</t>
  </si>
  <si>
    <t>x</t>
  </si>
  <si>
    <t>África do Sul</t>
  </si>
  <si>
    <t>12/06/2026 - 16:00</t>
  </si>
  <si>
    <t>Canadá</t>
  </si>
  <si>
    <t>11/06/2026 - 23:00</t>
  </si>
  <si>
    <t>Coréia do Sul</t>
  </si>
  <si>
    <t>13/06/2026 - 16:00</t>
  </si>
  <si>
    <t>Catar</t>
  </si>
  <si>
    <t>Suíça</t>
  </si>
  <si>
    <t>18/06/2026 - 13:00</t>
  </si>
  <si>
    <t>18/06/2026 - 16:00</t>
  </si>
  <si>
    <t>18/06/2026 - 22:00</t>
  </si>
  <si>
    <t>18/06/2026 - 19:00</t>
  </si>
  <si>
    <t>24/06/2026 - 22:00</t>
  </si>
  <si>
    <t>24/06/2026 - 16:00</t>
  </si>
  <si>
    <t>GRUPO C</t>
  </si>
  <si>
    <t>GRUPO D</t>
  </si>
  <si>
    <t>13/06/2026 - 19:00</t>
  </si>
  <si>
    <t>Brasil</t>
  </si>
  <si>
    <t>Marrocos</t>
  </si>
  <si>
    <t>12/06/2026 - 22:00</t>
  </si>
  <si>
    <t>Estados Unidos</t>
  </si>
  <si>
    <t>Paraguai</t>
  </si>
  <si>
    <t>13/06/2026 - 22:00</t>
  </si>
  <si>
    <t>Haiti</t>
  </si>
  <si>
    <t>Escócia</t>
  </si>
  <si>
    <t>14/06/2026 - 01:00</t>
  </si>
  <si>
    <t>Austrália</t>
  </si>
  <si>
    <t>19/06/2026 - 19:00</t>
  </si>
  <si>
    <t>20/06/2026 - 01:00</t>
  </si>
  <si>
    <t>19/06/2026 - 22:00</t>
  </si>
  <si>
    <t>19/06/2026 - 16:00</t>
  </si>
  <si>
    <t>24/06/2026 - 19:00</t>
  </si>
  <si>
    <t>25/06/2026 - 23:00</t>
  </si>
  <si>
    <t>GRUPO E</t>
  </si>
  <si>
    <t>GRUPO F</t>
  </si>
  <si>
    <t>14/06/2026 - 14:00</t>
  </si>
  <si>
    <t>Alemanha</t>
  </si>
  <si>
    <t>Curaçao</t>
  </si>
  <si>
    <t>14/06/2026 - 17:00</t>
  </si>
  <si>
    <t>Holanda</t>
  </si>
  <si>
    <t>Japão</t>
  </si>
  <si>
    <t>14/06/2026 - 20:00</t>
  </si>
  <si>
    <t>Costa do Marfim</t>
  </si>
  <si>
    <t>Equador</t>
  </si>
  <si>
    <t>14/06/2026 - 23:00</t>
  </si>
  <si>
    <t>Tunísia</t>
  </si>
  <si>
    <t>20/06/2026 - 17:00</t>
  </si>
  <si>
    <t>21/06/2026 - 01:00</t>
  </si>
  <si>
    <t>20/06/2026 - 21:00</t>
  </si>
  <si>
    <t>20/06/2026 - 14:00</t>
  </si>
  <si>
    <t>25/06/2026 - 17:00</t>
  </si>
  <si>
    <t>25/06/2026 - 20:00</t>
  </si>
  <si>
    <t>GRUPO G</t>
  </si>
  <si>
    <t>GRUPO H</t>
  </si>
  <si>
    <t>15/06/2026 - 16:00</t>
  </si>
  <si>
    <t>Bélgica</t>
  </si>
  <si>
    <t>Egito</t>
  </si>
  <si>
    <t>15/06/2026 - 13:00</t>
  </si>
  <si>
    <t>Espanha</t>
  </si>
  <si>
    <t>Cabo Verde</t>
  </si>
  <si>
    <t>15/06/2026 - 22:00</t>
  </si>
  <si>
    <t>Irã</t>
  </si>
  <si>
    <t>Nova Zelândia</t>
  </si>
  <si>
    <t>15/06/2026 - 19:00</t>
  </si>
  <si>
    <t>Arábia Saudita</t>
  </si>
  <si>
    <t>Uruguai</t>
  </si>
  <si>
    <t>21/06/2026 - 16:00</t>
  </si>
  <si>
    <t>21/06/2026 - 13:00</t>
  </si>
  <si>
    <t>21/06/2026 - 22:00</t>
  </si>
  <si>
    <t>21/06/2026 - 19:00</t>
  </si>
  <si>
    <t>27/06/2026 - 00:00</t>
  </si>
  <si>
    <t>26/06/2026 - 21:00</t>
  </si>
  <si>
    <t>GRUPO I</t>
  </si>
  <si>
    <t>GRUPO J</t>
  </si>
  <si>
    <t>16/06/2026 - 16:00</t>
  </si>
  <si>
    <t>França</t>
  </si>
  <si>
    <t>Senegal</t>
  </si>
  <si>
    <t>17/06/2026 - 01:00</t>
  </si>
  <si>
    <t>Áustria</t>
  </si>
  <si>
    <t>Jordânia</t>
  </si>
  <si>
    <t>16/06/2026 - 19:00</t>
  </si>
  <si>
    <t>Noruega</t>
  </si>
  <si>
    <t>16/06/2026 - 22:00</t>
  </si>
  <si>
    <t>Argentina</t>
  </si>
  <si>
    <t>Argélia</t>
  </si>
  <si>
    <t>22/06/2026 - 18:00</t>
  </si>
  <si>
    <t>22/06/2026 - 14:00</t>
  </si>
  <si>
    <t>22/06/2026 - 21:00</t>
  </si>
  <si>
    <t>23/06/2026 - 00:00</t>
  </si>
  <si>
    <t>26/06/2026 - 16:00</t>
  </si>
  <si>
    <t>27/06/2026 - 23:00</t>
  </si>
  <si>
    <t>GRUPO K</t>
  </si>
  <si>
    <t>GRUPO L</t>
  </si>
  <si>
    <t>17/06/2026 - 14:00</t>
  </si>
  <si>
    <t>Portugal</t>
  </si>
  <si>
    <t>17/06/2026 - 17:00</t>
  </si>
  <si>
    <t>Inglaterra</t>
  </si>
  <si>
    <t>Croácia</t>
  </si>
  <si>
    <t>17/06/2026 - 23:00</t>
  </si>
  <si>
    <t>Uzbequistão</t>
  </si>
  <si>
    <t>Colômbia</t>
  </si>
  <si>
    <t>17/06/2026 - 20:00</t>
  </si>
  <si>
    <t>Gana</t>
  </si>
  <si>
    <t>Panamá</t>
  </si>
  <si>
    <t>23/06/2026 - 14:00</t>
  </si>
  <si>
    <t>23/06/2026 - 17:00</t>
  </si>
  <si>
    <t>23/06/2026 - 23:00</t>
  </si>
  <si>
    <t>23/06/2026 - 20:00</t>
  </si>
  <si>
    <t>27/06/2026 - 20:30</t>
  </si>
  <si>
    <t>27/06/2026 - 18:00</t>
  </si>
  <si>
    <r>
      <rPr>
        <b/>
        <sz val="36"/>
        <color rgb="FFE75B30"/>
        <rFont val="Calibri"/>
        <family val="2"/>
      </rPr>
      <t>COPA DO MUNDO 2026</t>
    </r>
    <r>
      <rPr>
        <b/>
        <sz val="36"/>
        <color rgb="FF184F8E"/>
        <rFont val="Calibri"/>
        <family val="2"/>
      </rPr>
      <t xml:space="preserve"> - FASE DE MATA-MATA</t>
    </r>
  </si>
  <si>
    <t>Oitavas de Final</t>
  </si>
  <si>
    <t>Quartas de Final</t>
  </si>
  <si>
    <t>CAMPEÃO</t>
  </si>
  <si>
    <t>Semifinal</t>
  </si>
  <si>
    <t>Final</t>
  </si>
  <si>
    <t>3º e 4º lugar</t>
  </si>
  <si>
    <t>Vencedor 3º Lugar</t>
  </si>
  <si>
    <t>16 avos de final</t>
  </si>
  <si>
    <t>PONTUAÇÃO EXTRA</t>
  </si>
  <si>
    <t>Melhor ataque (10 pontos):</t>
  </si>
  <si>
    <t>Melhor defesa (10 pontos):</t>
  </si>
  <si>
    <t>Artilheiro (15 pontos):</t>
  </si>
  <si>
    <t>Favorito Eliminado</t>
  </si>
  <si>
    <t>Zebra Classificada</t>
  </si>
  <si>
    <t>Bósnia e Herzegovina</t>
  </si>
  <si>
    <t>Iraque</t>
  </si>
  <si>
    <t>X</t>
  </si>
  <si>
    <t>Harry Kane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</si>
</sst>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26"/>
      <color rgb="FF184F8E"/>
      <name val="Calibri"/>
      <family val="2"/>
    </font>
    <font>
      <b/>
      <sz val="26"/>
      <color rgb="FFE75B30"/>
      <name val="Calibri"/>
      <family val="2"/>
    </font>
    <font>
      <b/>
      <sz val="12"/>
      <color theme="0"/>
      <name val="Calibri"/>
      <family val="2"/>
    </font>
    <font>
      <sz val="12"/>
      <color rgb="FF184F8E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36"/>
      <color rgb="FF184F8E"/>
      <name val="Calibri"/>
      <family val="2"/>
    </font>
    <font>
      <b/>
      <sz val="36"/>
      <color rgb="FFE75B30"/>
      <name val="Calibri"/>
      <family val="2"/>
    </font>
    <font>
      <b/>
      <sz val="36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184F8E"/>
      <name val="Calibri"/>
      <family val="2"/>
    </font>
    <font>
      <sz val="11"/>
      <color rgb="FF184F8E"/>
      <name val="Calibri"/>
      <family val="2"/>
    </font>
    <font>
      <b/>
      <sz val="12"/>
      <color rgb="FF184F8E"/>
      <name val="Calibri"/>
      <family val="2"/>
    </font>
    <font>
      <b/>
      <sz val="9"/>
      <color theme="0"/>
      <name val="Calibri"/>
      <family val="2"/>
    </font>
    <font>
      <sz val="12"/>
      <color theme="1"/>
      <name val="Symbol"/>
      <family val="1"/>
      <charset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84F8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5B30"/>
        <bgColor indexed="64"/>
      </patternFill>
    </fill>
    <fill>
      <patternFill patternType="solid">
        <fgColor rgb="FF14437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 style="thick">
        <color theme="0"/>
      </bottom>
      <diagonal/>
    </border>
    <border>
      <left/>
      <right/>
      <top style="medium">
        <color theme="0"/>
      </top>
      <bottom style="thick">
        <color theme="0"/>
      </bottom>
      <diagonal/>
    </border>
    <border>
      <left/>
      <right style="medium">
        <color theme="0"/>
      </right>
      <top style="medium">
        <color theme="0"/>
      </top>
      <bottom style="thick">
        <color theme="0"/>
      </bottom>
      <diagonal/>
    </border>
    <border>
      <left style="medium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n">
        <color theme="0"/>
      </bottom>
      <diagonal/>
    </border>
    <border>
      <left/>
      <right/>
      <top style="thick">
        <color theme="0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ck">
        <color theme="0"/>
      </top>
      <bottom style="thin">
        <color theme="0" tint="-4.9989318521683403E-2"/>
      </bottom>
      <diagonal/>
    </border>
    <border>
      <left style="thin">
        <color rgb="FF184F8E"/>
      </left>
      <right style="thin">
        <color rgb="FF184F8E"/>
      </right>
      <top style="thick">
        <color theme="0"/>
      </top>
      <bottom style="thin">
        <color rgb="FF184F8E"/>
      </bottom>
      <diagonal/>
    </border>
    <border>
      <left style="thick">
        <color theme="0"/>
      </left>
      <right style="medium">
        <color theme="0"/>
      </right>
      <top style="thick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thin">
        <color rgb="FF184F8E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theme="0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rgb="FF184F8E"/>
      </bottom>
      <diagonal/>
    </border>
    <border>
      <left style="medium">
        <color rgb="FF184F8E"/>
      </left>
      <right style="medium">
        <color theme="0"/>
      </right>
      <top style="medium">
        <color theme="0"/>
      </top>
      <bottom style="medium">
        <color rgb="FF184F8E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rgb="FF184F8E"/>
      </left>
      <right style="medium">
        <color theme="0"/>
      </right>
      <top/>
      <bottom style="medium">
        <color theme="0"/>
      </bottom>
      <diagonal/>
    </border>
    <border>
      <left/>
      <right style="mediumDashed">
        <color theme="0"/>
      </right>
      <top style="mediumDashed">
        <color theme="0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mediumDashed">
        <color theme="0"/>
      </left>
      <right/>
      <top style="mediumDashed">
        <color theme="0"/>
      </top>
      <bottom/>
      <diagonal/>
    </border>
    <border>
      <left/>
      <right style="mediumDashed">
        <color theme="0"/>
      </right>
      <top/>
      <bottom/>
      <diagonal/>
    </border>
    <border>
      <left style="mediumDashed">
        <color theme="0"/>
      </left>
      <right style="medium">
        <color theme="0"/>
      </right>
      <top/>
      <bottom style="mediumDashed">
        <color theme="0"/>
      </bottom>
      <diagonal/>
    </border>
    <border>
      <left style="medium">
        <color theme="0"/>
      </left>
      <right style="mediumDashed">
        <color theme="0"/>
      </right>
      <top/>
      <bottom style="medium">
        <color theme="0"/>
      </bottom>
      <diagonal/>
    </border>
    <border>
      <left style="mediumDashed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Dashed">
        <color theme="0"/>
      </right>
      <top/>
      <bottom/>
      <diagonal/>
    </border>
    <border>
      <left/>
      <right/>
      <top style="medium">
        <color theme="0"/>
      </top>
      <bottom/>
      <diagonal/>
    </border>
    <border>
      <left style="mediumDashed">
        <color theme="0"/>
      </left>
      <right/>
      <top/>
      <bottom style="mediumDashed">
        <color theme="0"/>
      </bottom>
      <diagonal/>
    </border>
    <border>
      <left/>
      <right/>
      <top style="mediumDashed">
        <color theme="0"/>
      </top>
      <bottom/>
      <diagonal/>
    </border>
    <border>
      <left style="medium">
        <color theme="0"/>
      </left>
      <right style="mediumDashed">
        <color theme="0"/>
      </right>
      <top/>
      <bottom style="mediumDashed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Dashed">
        <color theme="0"/>
      </right>
      <top/>
      <bottom style="mediumDashed">
        <color theme="0"/>
      </bottom>
      <diagonal/>
    </border>
    <border>
      <left style="mediumDashed">
        <color theme="0"/>
      </left>
      <right style="mediumDashed">
        <color theme="0"/>
      </right>
      <top/>
      <bottom/>
      <diagonal/>
    </border>
    <border>
      <left/>
      <right/>
      <top/>
      <bottom style="mediumDashed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right" vertical="center"/>
    </xf>
    <xf numFmtId="0" fontId="1" fillId="4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Alignment="1">
      <alignment horizontal="righ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 vertical="center"/>
      <protection locked="0"/>
    </xf>
    <xf numFmtId="0" fontId="5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 applyProtection="1">
      <alignment horizontal="center" vertical="center"/>
      <protection locked="0"/>
    </xf>
    <xf numFmtId="0" fontId="1" fillId="3" borderId="11" xfId="0" applyFont="1" applyFill="1" applyBorder="1" applyAlignment="1">
      <alignment horizontal="right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 applyProtection="1">
      <alignment horizontal="center" vertical="center"/>
      <protection locked="0"/>
    </xf>
    <xf numFmtId="0" fontId="5" fillId="3" borderId="0" xfId="0" applyFont="1" applyFill="1" applyAlignment="1">
      <alignment horizontal="center" vertical="center"/>
    </xf>
    <xf numFmtId="0" fontId="1" fillId="3" borderId="14" xfId="0" applyFont="1" applyFill="1" applyBorder="1" applyAlignment="1">
      <alignment vertical="center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0" fontId="1" fillId="3" borderId="16" xfId="0" applyFont="1" applyFill="1" applyBorder="1" applyAlignment="1">
      <alignment horizontal="right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 applyProtection="1">
      <alignment horizontal="center" vertical="center"/>
      <protection locked="0"/>
    </xf>
    <xf numFmtId="0" fontId="5" fillId="3" borderId="1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10" fillId="4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14" fontId="7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4" borderId="2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2" fillId="0" borderId="24" xfId="0" applyFont="1" applyBorder="1" applyAlignment="1" applyProtection="1">
      <alignment horizontal="center" vertical="center"/>
      <protection locked="0" hidden="1"/>
    </xf>
    <xf numFmtId="0" fontId="12" fillId="3" borderId="25" xfId="0" applyFont="1" applyFill="1" applyBorder="1" applyAlignment="1" applyProtection="1">
      <alignment horizontal="center" vertical="center"/>
      <protection locked="0" hidden="1"/>
    </xf>
    <xf numFmtId="0" fontId="12" fillId="2" borderId="0" xfId="0" applyFont="1" applyFill="1" applyAlignment="1" applyProtection="1">
      <alignment horizontal="center" vertical="center"/>
      <protection hidden="1"/>
    </xf>
    <xf numFmtId="0" fontId="12" fillId="0" borderId="26" xfId="0" applyFont="1" applyBorder="1" applyAlignment="1" applyProtection="1">
      <alignment horizontal="center" vertical="center"/>
      <protection locked="0" hidden="1"/>
    </xf>
    <xf numFmtId="0" fontId="12" fillId="3" borderId="27" xfId="0" applyFont="1" applyFill="1" applyBorder="1" applyAlignment="1" applyProtection="1">
      <alignment horizontal="center" vertical="center"/>
      <protection locked="0" hidden="1"/>
    </xf>
    <xf numFmtId="0" fontId="7" fillId="2" borderId="28" xfId="0" applyFont="1" applyFill="1" applyBorder="1" applyAlignment="1" applyProtection="1">
      <alignment horizontal="center" vertical="center"/>
      <protection hidden="1"/>
    </xf>
    <xf numFmtId="0" fontId="7" fillId="2" borderId="29" xfId="0" applyFont="1" applyFill="1" applyBorder="1" applyAlignment="1" applyProtection="1">
      <alignment horizontal="right" vertical="center"/>
      <protection hidden="1"/>
    </xf>
    <xf numFmtId="0" fontId="6" fillId="2" borderId="30" xfId="0" applyFont="1" applyFill="1" applyBorder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7" fillId="2" borderId="31" xfId="0" applyFont="1" applyFill="1" applyBorder="1" applyAlignment="1" applyProtection="1">
      <alignment horizontal="center" vertical="center"/>
      <protection hidden="1"/>
    </xf>
    <xf numFmtId="0" fontId="7" fillId="2" borderId="32" xfId="0" applyFont="1" applyFill="1" applyBorder="1" applyAlignment="1" applyProtection="1">
      <alignment horizontal="right" vertical="center"/>
      <protection hidden="1"/>
    </xf>
    <xf numFmtId="0" fontId="6" fillId="2" borderId="33" xfId="0" applyFont="1" applyFill="1" applyBorder="1" applyAlignment="1">
      <alignment vertical="center"/>
    </xf>
    <xf numFmtId="0" fontId="6" fillId="2" borderId="34" xfId="0" applyFont="1" applyFill="1" applyBorder="1" applyAlignment="1">
      <alignment vertical="center"/>
    </xf>
    <xf numFmtId="14" fontId="7" fillId="2" borderId="35" xfId="0" applyNumberFormat="1" applyFont="1" applyFill="1" applyBorder="1" applyAlignment="1" applyProtection="1">
      <alignment horizontal="center" vertical="center"/>
      <protection locked="0"/>
    </xf>
    <xf numFmtId="0" fontId="11" fillId="4" borderId="35" xfId="0" applyFont="1" applyFill="1" applyBorder="1" applyAlignment="1">
      <alignment horizontal="center" vertical="center"/>
    </xf>
    <xf numFmtId="0" fontId="7" fillId="2" borderId="36" xfId="0" applyFont="1" applyFill="1" applyBorder="1" applyAlignment="1" applyProtection="1">
      <alignment horizontal="center" vertical="center"/>
      <protection hidden="1"/>
    </xf>
    <xf numFmtId="0" fontId="12" fillId="2" borderId="28" xfId="0" applyFont="1" applyFill="1" applyBorder="1" applyAlignment="1" applyProtection="1">
      <alignment horizontal="center" vertical="center"/>
      <protection hidden="1"/>
    </xf>
    <xf numFmtId="0" fontId="7" fillId="2" borderId="34" xfId="0" applyFont="1" applyFill="1" applyBorder="1" applyAlignment="1" applyProtection="1">
      <alignment horizontal="right" vertical="center"/>
      <protection hidden="1"/>
    </xf>
    <xf numFmtId="0" fontId="13" fillId="2" borderId="37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vertical="center"/>
    </xf>
    <xf numFmtId="0" fontId="7" fillId="2" borderId="39" xfId="0" applyFont="1" applyFill="1" applyBorder="1" applyAlignment="1" applyProtection="1">
      <alignment horizontal="center" vertical="center"/>
      <protection hidden="1"/>
    </xf>
    <xf numFmtId="0" fontId="6" fillId="2" borderId="32" xfId="0" applyFont="1" applyFill="1" applyBorder="1" applyAlignment="1">
      <alignment vertical="center"/>
    </xf>
    <xf numFmtId="0" fontId="6" fillId="2" borderId="40" xfId="0" applyFont="1" applyFill="1" applyBorder="1" applyAlignment="1">
      <alignment vertical="center"/>
    </xf>
    <xf numFmtId="0" fontId="7" fillId="2" borderId="31" xfId="0" applyFont="1" applyFill="1" applyBorder="1" applyAlignment="1">
      <alignment horizontal="center" vertical="center"/>
    </xf>
    <xf numFmtId="0" fontId="12" fillId="2" borderId="44" xfId="0" applyFont="1" applyFill="1" applyBorder="1" applyAlignment="1" applyProtection="1">
      <alignment horizontal="center" vertical="center"/>
      <protection hidden="1"/>
    </xf>
    <xf numFmtId="0" fontId="15" fillId="4" borderId="23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vertical="center"/>
    </xf>
    <xf numFmtId="0" fontId="11" fillId="2" borderId="46" xfId="0" applyFont="1" applyFill="1" applyBorder="1" applyAlignment="1">
      <alignment vertical="center"/>
    </xf>
    <xf numFmtId="0" fontId="6" fillId="2" borderId="44" xfId="0" applyFont="1" applyFill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6" borderId="4" xfId="0" applyFont="1" applyFill="1" applyBorder="1" applyAlignment="1" applyProtection="1">
      <alignment horizontal="center" vertical="center"/>
      <protection locked="0"/>
    </xf>
    <xf numFmtId="0" fontId="1" fillId="6" borderId="5" xfId="0" applyFont="1" applyFill="1" applyBorder="1" applyAlignment="1">
      <alignment horizontal="right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 applyProtection="1">
      <alignment horizontal="center" vertical="center"/>
      <protection locked="0"/>
    </xf>
    <xf numFmtId="0" fontId="5" fillId="6" borderId="6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vertical="center"/>
    </xf>
    <xf numFmtId="0" fontId="1" fillId="6" borderId="10" xfId="0" applyFont="1" applyFill="1" applyBorder="1" applyAlignment="1" applyProtection="1">
      <alignment horizontal="center" vertical="center"/>
      <protection locked="0"/>
    </xf>
    <xf numFmtId="0" fontId="1" fillId="6" borderId="11" xfId="0" applyFont="1" applyFill="1" applyBorder="1" applyAlignment="1">
      <alignment horizontal="right" vertical="center"/>
    </xf>
    <xf numFmtId="0" fontId="1" fillId="6" borderId="0" xfId="0" applyFont="1" applyFill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 applyProtection="1">
      <alignment horizontal="center" vertical="center"/>
      <protection locked="0"/>
    </xf>
    <xf numFmtId="0" fontId="5" fillId="6" borderId="0" xfId="0" applyFont="1" applyFill="1" applyAlignment="1">
      <alignment horizontal="center" vertical="center"/>
    </xf>
    <xf numFmtId="0" fontId="1" fillId="6" borderId="14" xfId="0" applyFont="1" applyFill="1" applyBorder="1" applyAlignment="1">
      <alignment vertical="center"/>
    </xf>
    <xf numFmtId="0" fontId="1" fillId="6" borderId="15" xfId="0" applyFont="1" applyFill="1" applyBorder="1" applyAlignment="1" applyProtection="1">
      <alignment horizontal="center" vertical="center"/>
      <protection locked="0"/>
    </xf>
    <xf numFmtId="0" fontId="1" fillId="6" borderId="16" xfId="0" applyFont="1" applyFill="1" applyBorder="1" applyAlignment="1">
      <alignment horizontal="right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9" xfId="0" applyFont="1" applyFill="1" applyBorder="1" applyAlignment="1" applyProtection="1">
      <alignment horizontal="center" vertical="center"/>
      <protection locked="0"/>
    </xf>
    <xf numFmtId="0" fontId="5" fillId="6" borderId="17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vertical="center"/>
    </xf>
    <xf numFmtId="0" fontId="1" fillId="7" borderId="10" xfId="0" applyFont="1" applyFill="1" applyBorder="1" applyAlignment="1" applyProtection="1">
      <alignment horizontal="center" vertical="center"/>
      <protection locked="0"/>
    </xf>
    <xf numFmtId="0" fontId="1" fillId="7" borderId="11" xfId="0" applyFont="1" applyFill="1" applyBorder="1" applyAlignment="1">
      <alignment horizontal="right" vertical="center"/>
    </xf>
    <xf numFmtId="0" fontId="1" fillId="7" borderId="0" xfId="0" applyFont="1" applyFill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 applyProtection="1">
      <alignment horizontal="center" vertical="center"/>
      <protection locked="0"/>
    </xf>
    <xf numFmtId="0" fontId="5" fillId="7" borderId="0" xfId="0" applyFont="1" applyFill="1" applyAlignment="1">
      <alignment horizontal="center" vertical="center"/>
    </xf>
    <xf numFmtId="0" fontId="1" fillId="7" borderId="14" xfId="0" applyFont="1" applyFill="1" applyBorder="1" applyAlignment="1">
      <alignment vertical="center"/>
    </xf>
    <xf numFmtId="0" fontId="1" fillId="7" borderId="4" xfId="0" applyFont="1" applyFill="1" applyBorder="1" applyAlignment="1" applyProtection="1">
      <alignment horizontal="center" vertical="center"/>
      <protection locked="0"/>
    </xf>
    <xf numFmtId="0" fontId="1" fillId="7" borderId="5" xfId="0" applyFont="1" applyFill="1" applyBorder="1" applyAlignment="1">
      <alignment horizontal="right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 applyProtection="1">
      <alignment horizontal="center" vertical="center"/>
      <protection locked="0"/>
    </xf>
    <xf numFmtId="0" fontId="5" fillId="7" borderId="6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16" fillId="0" borderId="0" xfId="0" applyFont="1" applyAlignment="1">
      <alignment horizontal="justify" vertical="center"/>
    </xf>
    <xf numFmtId="0" fontId="6" fillId="2" borderId="0" xfId="0" applyFont="1" applyFill="1" applyAlignment="1">
      <alignment horizontal="right" vertical="center"/>
    </xf>
    <xf numFmtId="0" fontId="6" fillId="8" borderId="48" xfId="0" applyFont="1" applyFill="1" applyBorder="1" applyAlignment="1">
      <alignment vertical="center"/>
    </xf>
    <xf numFmtId="0" fontId="6" fillId="8" borderId="49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right" vertical="center"/>
    </xf>
    <xf numFmtId="0" fontId="6" fillId="8" borderId="0" xfId="0" applyFont="1" applyFill="1" applyAlignment="1">
      <alignment horizontal="center" vertical="center"/>
    </xf>
    <xf numFmtId="0" fontId="17" fillId="8" borderId="4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8" borderId="52" xfId="0" applyFont="1" applyFill="1" applyBorder="1" applyAlignment="1">
      <alignment horizontal="center" vertical="center"/>
    </xf>
    <xf numFmtId="0" fontId="6" fillId="8" borderId="50" xfId="0" applyFont="1" applyFill="1" applyBorder="1" applyAlignment="1">
      <alignment horizontal="center" vertical="center"/>
    </xf>
    <xf numFmtId="0" fontId="6" fillId="8" borderId="51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2" fillId="0" borderId="35" xfId="0" applyFont="1" applyBorder="1" applyAlignment="1" applyProtection="1">
      <alignment horizontal="center" vertical="center"/>
      <protection locked="0"/>
    </xf>
    <xf numFmtId="0" fontId="4" fillId="5" borderId="41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 vertical="center"/>
    </xf>
    <xf numFmtId="0" fontId="14" fillId="0" borderId="41" xfId="0" applyFont="1" applyBorder="1" applyAlignment="1" applyProtection="1">
      <alignment horizontal="center" vertical="center"/>
      <protection locked="0"/>
    </xf>
    <xf numFmtId="0" fontId="14" fillId="0" borderId="42" xfId="0" applyFont="1" applyBorder="1" applyAlignment="1" applyProtection="1">
      <alignment horizontal="center" vertical="center"/>
      <protection locked="0"/>
    </xf>
    <xf numFmtId="0" fontId="14" fillId="0" borderId="43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14601</xdr:colOff>
      <xdr:row>13</xdr:row>
      <xdr:rowOff>19250</xdr:rowOff>
    </xdr:from>
    <xdr:to>
      <xdr:col>11</xdr:col>
      <xdr:colOff>271181</xdr:colOff>
      <xdr:row>13</xdr:row>
      <xdr:rowOff>177650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FCA44C-2BC9-4B87-B320-EA42B8B4E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651" y="2219525"/>
          <a:ext cx="25658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13610</xdr:colOff>
      <xdr:row>14</xdr:row>
      <xdr:rowOff>23477</xdr:rowOff>
    </xdr:from>
    <xdr:to>
      <xdr:col>5</xdr:col>
      <xdr:colOff>270427</xdr:colOff>
      <xdr:row>14</xdr:row>
      <xdr:rowOff>181877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88ED0A2-66B8-46CC-BD95-907B4011E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585" y="2423777"/>
          <a:ext cx="2568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13609</xdr:colOff>
      <xdr:row>13</xdr:row>
      <xdr:rowOff>22403</xdr:rowOff>
    </xdr:from>
    <xdr:to>
      <xdr:col>5</xdr:col>
      <xdr:colOff>269428</xdr:colOff>
      <xdr:row>13</xdr:row>
      <xdr:rowOff>180803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F018D7D-7049-452E-A92D-480016ADF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584" y="2222678"/>
          <a:ext cx="255819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14</xdr:row>
      <xdr:rowOff>16915</xdr:rowOff>
    </xdr:from>
    <xdr:to>
      <xdr:col>11</xdr:col>
      <xdr:colOff>270691</xdr:colOff>
      <xdr:row>14</xdr:row>
      <xdr:rowOff>174264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6F112C1-B87E-4CB0-8258-726F8A681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141" y="2417215"/>
          <a:ext cx="255600" cy="157349"/>
        </a:xfrm>
        <a:prstGeom prst="rect">
          <a:avLst/>
        </a:prstGeom>
      </xdr:spPr>
    </xdr:pic>
    <xdr:clientData/>
  </xdr:twoCellAnchor>
  <xdr:twoCellAnchor editAs="oneCell">
    <xdr:from>
      <xdr:col>5</xdr:col>
      <xdr:colOff>21229</xdr:colOff>
      <xdr:row>16</xdr:row>
      <xdr:rowOff>22404</xdr:rowOff>
    </xdr:from>
    <xdr:to>
      <xdr:col>5</xdr:col>
      <xdr:colOff>277049</xdr:colOff>
      <xdr:row>16</xdr:row>
      <xdr:rowOff>180804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57199B0-B83D-4AF5-ACCF-439514F47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2204" y="2822754"/>
          <a:ext cx="25582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14353</xdr:colOff>
      <xdr:row>17</xdr:row>
      <xdr:rowOff>22056</xdr:rowOff>
    </xdr:from>
    <xdr:to>
      <xdr:col>11</xdr:col>
      <xdr:colOff>271430</xdr:colOff>
      <xdr:row>17</xdr:row>
      <xdr:rowOff>180456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BB5BEEF-F4A4-45E9-8AE9-D938E8151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403" y="3022431"/>
          <a:ext cx="25707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15</xdr:row>
      <xdr:rowOff>23854</xdr:rowOff>
    </xdr:from>
    <xdr:to>
      <xdr:col>11</xdr:col>
      <xdr:colOff>270691</xdr:colOff>
      <xdr:row>15</xdr:row>
      <xdr:rowOff>180406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395A989-A883-4482-AF4F-4DE6E39F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141" y="2624179"/>
          <a:ext cx="255600" cy="156552"/>
        </a:xfrm>
        <a:prstGeom prst="rect">
          <a:avLst/>
        </a:prstGeom>
      </xdr:spPr>
    </xdr:pic>
    <xdr:clientData/>
  </xdr:twoCellAnchor>
  <xdr:twoCellAnchor editAs="oneCell">
    <xdr:from>
      <xdr:col>5</xdr:col>
      <xdr:colOff>15614</xdr:colOff>
      <xdr:row>18</xdr:row>
      <xdr:rowOff>16636</xdr:rowOff>
    </xdr:from>
    <xdr:to>
      <xdr:col>5</xdr:col>
      <xdr:colOff>272192</xdr:colOff>
      <xdr:row>18</xdr:row>
      <xdr:rowOff>175036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80BB63B-2F2B-4666-A9B7-178A03764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589" y="3217036"/>
          <a:ext cx="256578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</xdr:colOff>
      <xdr:row>17</xdr:row>
      <xdr:rowOff>23541</xdr:rowOff>
    </xdr:from>
    <xdr:to>
      <xdr:col>5</xdr:col>
      <xdr:colOff>271703</xdr:colOff>
      <xdr:row>17</xdr:row>
      <xdr:rowOff>180890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FBD8DCFC-2F3F-467B-B2C0-D78D871D4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7078" y="3023916"/>
          <a:ext cx="255600" cy="157349"/>
        </a:xfrm>
        <a:prstGeom prst="rect">
          <a:avLst/>
        </a:prstGeom>
      </xdr:spPr>
    </xdr:pic>
    <xdr:clientData/>
  </xdr:twoCellAnchor>
  <xdr:twoCellAnchor editAs="oneCell">
    <xdr:from>
      <xdr:col>5</xdr:col>
      <xdr:colOff>22269</xdr:colOff>
      <xdr:row>15</xdr:row>
      <xdr:rowOff>23907</xdr:rowOff>
    </xdr:from>
    <xdr:to>
      <xdr:col>5</xdr:col>
      <xdr:colOff>277869</xdr:colOff>
      <xdr:row>15</xdr:row>
      <xdr:rowOff>180000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9E822833-3423-47B6-88DF-0F46A1035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244" y="2624232"/>
          <a:ext cx="255600" cy="156093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16</xdr:row>
      <xdr:rowOff>15509</xdr:rowOff>
    </xdr:from>
    <xdr:to>
      <xdr:col>11</xdr:col>
      <xdr:colOff>270691</xdr:colOff>
      <xdr:row>16</xdr:row>
      <xdr:rowOff>171140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CBAC7490-C4EE-4335-8184-FF19A4D6F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141" y="2815859"/>
          <a:ext cx="255600" cy="155631"/>
        </a:xfrm>
        <a:prstGeom prst="rect">
          <a:avLst/>
        </a:prstGeom>
      </xdr:spPr>
    </xdr:pic>
    <xdr:clientData/>
  </xdr:twoCellAnchor>
  <xdr:twoCellAnchor editAs="oneCell">
    <xdr:from>
      <xdr:col>11</xdr:col>
      <xdr:colOff>14484</xdr:colOff>
      <xdr:row>18</xdr:row>
      <xdr:rowOff>16851</xdr:rowOff>
    </xdr:from>
    <xdr:to>
      <xdr:col>11</xdr:col>
      <xdr:colOff>271298</xdr:colOff>
      <xdr:row>18</xdr:row>
      <xdr:rowOff>175251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B606F6B4-5960-45BE-91BC-7109B662E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534" y="3217251"/>
          <a:ext cx="256814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21074</xdr:colOff>
      <xdr:row>8</xdr:row>
      <xdr:rowOff>29392</xdr:rowOff>
    </xdr:from>
    <xdr:to>
      <xdr:col>11</xdr:col>
      <xdr:colOff>275084</xdr:colOff>
      <xdr:row>8</xdr:row>
      <xdr:rowOff>187792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2AD62B4B-BD5B-4D04-928A-86CB04A64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124" y="1343842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12423</xdr:colOff>
      <xdr:row>5</xdr:row>
      <xdr:rowOff>23624</xdr:rowOff>
    </xdr:from>
    <xdr:to>
      <xdr:col>5</xdr:col>
      <xdr:colOff>268023</xdr:colOff>
      <xdr:row>5</xdr:row>
      <xdr:rowOff>177203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EB732AC6-0344-4B0E-9C93-6144113F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398" y="737999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11</xdr:col>
      <xdr:colOff>19425</xdr:colOff>
      <xdr:row>5</xdr:row>
      <xdr:rowOff>22013</xdr:rowOff>
    </xdr:from>
    <xdr:to>
      <xdr:col>11</xdr:col>
      <xdr:colOff>276733</xdr:colOff>
      <xdr:row>5</xdr:row>
      <xdr:rowOff>180413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C54A0A56-D90B-49F6-A281-30AEFAC7A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475" y="736388"/>
          <a:ext cx="25730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21073</xdr:colOff>
      <xdr:row>10</xdr:row>
      <xdr:rowOff>10637</xdr:rowOff>
    </xdr:from>
    <xdr:to>
      <xdr:col>11</xdr:col>
      <xdr:colOff>275086</xdr:colOff>
      <xdr:row>10</xdr:row>
      <xdr:rowOff>169037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E1F775C8-709D-4AE3-A12C-E08CCAED6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123" y="172513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21073</xdr:colOff>
      <xdr:row>7</xdr:row>
      <xdr:rowOff>31737</xdr:rowOff>
    </xdr:from>
    <xdr:to>
      <xdr:col>11</xdr:col>
      <xdr:colOff>275085</xdr:colOff>
      <xdr:row>7</xdr:row>
      <xdr:rowOff>190137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2A718D64-8E1B-4FED-935E-C68C7AA2B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123" y="114616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13217</xdr:colOff>
      <xdr:row>10</xdr:row>
      <xdr:rowOff>23757</xdr:rowOff>
    </xdr:from>
    <xdr:to>
      <xdr:col>5</xdr:col>
      <xdr:colOff>267230</xdr:colOff>
      <xdr:row>10</xdr:row>
      <xdr:rowOff>182157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6AB4107C-4D2A-493A-9D6D-3AEFA0DC9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192" y="173825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13218</xdr:colOff>
      <xdr:row>6</xdr:row>
      <xdr:rowOff>12487</xdr:rowOff>
    </xdr:from>
    <xdr:to>
      <xdr:col>5</xdr:col>
      <xdr:colOff>267228</xdr:colOff>
      <xdr:row>6</xdr:row>
      <xdr:rowOff>170887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D39EFF44-7F4B-4954-BFFD-F7E93970C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193" y="926887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20215</xdr:colOff>
      <xdr:row>9</xdr:row>
      <xdr:rowOff>23477</xdr:rowOff>
    </xdr:from>
    <xdr:to>
      <xdr:col>11</xdr:col>
      <xdr:colOff>275944</xdr:colOff>
      <xdr:row>9</xdr:row>
      <xdr:rowOff>181877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53F6F196-5018-451E-A4B6-51B4191F5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2265" y="1537952"/>
          <a:ext cx="2557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12423</xdr:colOff>
      <xdr:row>8</xdr:row>
      <xdr:rowOff>36520</xdr:rowOff>
    </xdr:from>
    <xdr:to>
      <xdr:col>5</xdr:col>
      <xdr:colOff>268023</xdr:colOff>
      <xdr:row>8</xdr:row>
      <xdr:rowOff>190099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B89CBD2F-F28F-4A99-8BD3-0C1C69997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398" y="1350970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24</xdr:col>
      <xdr:colOff>20079</xdr:colOff>
      <xdr:row>6</xdr:row>
      <xdr:rowOff>23125</xdr:rowOff>
    </xdr:from>
    <xdr:to>
      <xdr:col>24</xdr:col>
      <xdr:colOff>274089</xdr:colOff>
      <xdr:row>6</xdr:row>
      <xdr:rowOff>181525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761AF476-7E0F-4B41-9598-1D14B01D8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354" y="937525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20956</xdr:colOff>
      <xdr:row>5</xdr:row>
      <xdr:rowOff>17264</xdr:rowOff>
    </xdr:from>
    <xdr:to>
      <xdr:col>18</xdr:col>
      <xdr:colOff>274968</xdr:colOff>
      <xdr:row>5</xdr:row>
      <xdr:rowOff>175664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FDCC706B-DBA7-4DB4-A4CF-BB69F4E43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56" y="73163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21275</xdr:colOff>
      <xdr:row>6</xdr:row>
      <xdr:rowOff>21489</xdr:rowOff>
    </xdr:from>
    <xdr:to>
      <xdr:col>18</xdr:col>
      <xdr:colOff>275285</xdr:colOff>
      <xdr:row>6</xdr:row>
      <xdr:rowOff>179889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90F988A1-17B4-4611-B7D5-FBD62585C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475" y="93588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16325</xdr:colOff>
      <xdr:row>8</xdr:row>
      <xdr:rowOff>17865</xdr:rowOff>
    </xdr:from>
    <xdr:to>
      <xdr:col>24</xdr:col>
      <xdr:colOff>277844</xdr:colOff>
      <xdr:row>8</xdr:row>
      <xdr:rowOff>176265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CD9F2899-19AA-4651-9A1A-AE181DF93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600" y="1332315"/>
          <a:ext cx="261519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16326</xdr:colOff>
      <xdr:row>10</xdr:row>
      <xdr:rowOff>18526</xdr:rowOff>
    </xdr:from>
    <xdr:to>
      <xdr:col>24</xdr:col>
      <xdr:colOff>277842</xdr:colOff>
      <xdr:row>10</xdr:row>
      <xdr:rowOff>176926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B69F2712-5CF7-43D7-B303-DBFB773F4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601" y="1733026"/>
          <a:ext cx="261516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20956</xdr:colOff>
      <xdr:row>9</xdr:row>
      <xdr:rowOff>23125</xdr:rowOff>
    </xdr:from>
    <xdr:to>
      <xdr:col>18</xdr:col>
      <xdr:colOff>274968</xdr:colOff>
      <xdr:row>9</xdr:row>
      <xdr:rowOff>181525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B1CBD71F-E437-48A9-82B9-A6E9C2E8A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56" y="153760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17466</xdr:colOff>
      <xdr:row>7</xdr:row>
      <xdr:rowOff>26107</xdr:rowOff>
    </xdr:from>
    <xdr:to>
      <xdr:col>18</xdr:col>
      <xdr:colOff>271476</xdr:colOff>
      <xdr:row>7</xdr:row>
      <xdr:rowOff>184507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70EA6CCD-0D37-4B30-99BD-8600C1785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666" y="1140532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20078</xdr:colOff>
      <xdr:row>9</xdr:row>
      <xdr:rowOff>19879</xdr:rowOff>
    </xdr:from>
    <xdr:to>
      <xdr:col>24</xdr:col>
      <xdr:colOff>274090</xdr:colOff>
      <xdr:row>9</xdr:row>
      <xdr:rowOff>178279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F4914185-5CCB-49ED-A80A-130EB654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353" y="153435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20957</xdr:colOff>
      <xdr:row>8</xdr:row>
      <xdr:rowOff>20247</xdr:rowOff>
    </xdr:from>
    <xdr:to>
      <xdr:col>18</xdr:col>
      <xdr:colOff>274967</xdr:colOff>
      <xdr:row>8</xdr:row>
      <xdr:rowOff>178647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964D4E33-2485-495C-ABBD-559663A9D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57" y="1334697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13</xdr:row>
      <xdr:rowOff>21147</xdr:rowOff>
    </xdr:from>
    <xdr:to>
      <xdr:col>18</xdr:col>
      <xdr:colOff>272360</xdr:colOff>
      <xdr:row>13</xdr:row>
      <xdr:rowOff>179547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517B4659-018E-4456-ACA7-1C4A14FA8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548" y="222142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16260</xdr:colOff>
      <xdr:row>13</xdr:row>
      <xdr:rowOff>21488</xdr:rowOff>
    </xdr:from>
    <xdr:to>
      <xdr:col>24</xdr:col>
      <xdr:colOff>270272</xdr:colOff>
      <xdr:row>13</xdr:row>
      <xdr:rowOff>179888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AC2B77A2-7236-4ADB-9904-1184B7604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535" y="222176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14</xdr:row>
      <xdr:rowOff>25588</xdr:rowOff>
    </xdr:from>
    <xdr:to>
      <xdr:col>18</xdr:col>
      <xdr:colOff>272360</xdr:colOff>
      <xdr:row>14</xdr:row>
      <xdr:rowOff>183988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AAF0F47D-5FAE-48A4-BE8D-0C95992F6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548" y="2425888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16</xdr:row>
      <xdr:rowOff>18659</xdr:rowOff>
    </xdr:from>
    <xdr:to>
      <xdr:col>18</xdr:col>
      <xdr:colOff>272360</xdr:colOff>
      <xdr:row>16</xdr:row>
      <xdr:rowOff>177059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5670B28E-4B3E-46ED-92D6-1B991CB8B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548" y="281900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14648</xdr:colOff>
      <xdr:row>17</xdr:row>
      <xdr:rowOff>17263</xdr:rowOff>
    </xdr:from>
    <xdr:to>
      <xdr:col>24</xdr:col>
      <xdr:colOff>268661</xdr:colOff>
      <xdr:row>17</xdr:row>
      <xdr:rowOff>175663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9BF706B7-4345-475C-9E7E-44D7280B3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8923" y="3017638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18</xdr:row>
      <xdr:rowOff>25151</xdr:rowOff>
    </xdr:from>
    <xdr:to>
      <xdr:col>18</xdr:col>
      <xdr:colOff>273154</xdr:colOff>
      <xdr:row>18</xdr:row>
      <xdr:rowOff>178731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69387AE0-FC46-4900-808A-5DE2F687A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754" y="3225551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16260</xdr:colOff>
      <xdr:row>15</xdr:row>
      <xdr:rowOff>22482</xdr:rowOff>
    </xdr:from>
    <xdr:to>
      <xdr:col>24</xdr:col>
      <xdr:colOff>270272</xdr:colOff>
      <xdr:row>15</xdr:row>
      <xdr:rowOff>180882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EEA3F7E3-0E1C-481A-9CCE-1091036F5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535" y="2622807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20485</xdr:colOff>
      <xdr:row>18</xdr:row>
      <xdr:rowOff>25716</xdr:rowOff>
    </xdr:from>
    <xdr:to>
      <xdr:col>24</xdr:col>
      <xdr:colOff>274498</xdr:colOff>
      <xdr:row>18</xdr:row>
      <xdr:rowOff>184116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0D8BB90D-71B5-47AF-B12E-9F2A23DF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760" y="3226116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17522</xdr:colOff>
      <xdr:row>16</xdr:row>
      <xdr:rowOff>27703</xdr:rowOff>
    </xdr:from>
    <xdr:to>
      <xdr:col>24</xdr:col>
      <xdr:colOff>273251</xdr:colOff>
      <xdr:row>16</xdr:row>
      <xdr:rowOff>186103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02392383-5880-4125-B3F3-73EEA0FF4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797" y="2828053"/>
          <a:ext cx="2557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16271</xdr:colOff>
      <xdr:row>22</xdr:row>
      <xdr:rowOff>12034</xdr:rowOff>
    </xdr:from>
    <xdr:to>
      <xdr:col>5</xdr:col>
      <xdr:colOff>270284</xdr:colOff>
      <xdr:row>22</xdr:row>
      <xdr:rowOff>170434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847A0D52-F279-4977-81D7-0E9324AC0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7246" y="3898234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21</xdr:row>
      <xdr:rowOff>14864</xdr:rowOff>
    </xdr:from>
    <xdr:to>
      <xdr:col>5</xdr:col>
      <xdr:colOff>269269</xdr:colOff>
      <xdr:row>21</xdr:row>
      <xdr:rowOff>173264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A13D8ABD-51B9-4CE7-B300-24C3B598D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3701039"/>
          <a:ext cx="25198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22</xdr:row>
      <xdr:rowOff>19090</xdr:rowOff>
    </xdr:from>
    <xdr:to>
      <xdr:col>11</xdr:col>
      <xdr:colOff>269664</xdr:colOff>
      <xdr:row>22</xdr:row>
      <xdr:rowOff>177490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29920325-60BA-4A25-BD56-490581711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3905290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21</xdr:row>
      <xdr:rowOff>16688</xdr:rowOff>
    </xdr:from>
    <xdr:to>
      <xdr:col>11</xdr:col>
      <xdr:colOff>269664</xdr:colOff>
      <xdr:row>21</xdr:row>
      <xdr:rowOff>175088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37ED1092-F828-4750-9DAF-4A192A0B9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3702863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11899</xdr:colOff>
      <xdr:row>25</xdr:row>
      <xdr:rowOff>20514</xdr:rowOff>
    </xdr:from>
    <xdr:to>
      <xdr:col>11</xdr:col>
      <xdr:colOff>273416</xdr:colOff>
      <xdr:row>25</xdr:row>
      <xdr:rowOff>178914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17C8A81B-8944-455F-A62B-FDA715AFB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949" y="4506789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23</xdr:row>
      <xdr:rowOff>15858</xdr:rowOff>
    </xdr:from>
    <xdr:to>
      <xdr:col>5</xdr:col>
      <xdr:colOff>269268</xdr:colOff>
      <xdr:row>23</xdr:row>
      <xdr:rowOff>174258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C7630B67-2975-4169-BF4B-EE0194F6E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4102083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14853</xdr:colOff>
      <xdr:row>24</xdr:row>
      <xdr:rowOff>18462</xdr:rowOff>
    </xdr:from>
    <xdr:to>
      <xdr:col>5</xdr:col>
      <xdr:colOff>268865</xdr:colOff>
      <xdr:row>24</xdr:row>
      <xdr:rowOff>176862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7D68989A-7494-43F5-BE06-8A76796A0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5828" y="430471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25</xdr:row>
      <xdr:rowOff>25088</xdr:rowOff>
    </xdr:from>
    <xdr:to>
      <xdr:col>5</xdr:col>
      <xdr:colOff>269269</xdr:colOff>
      <xdr:row>25</xdr:row>
      <xdr:rowOff>183488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7F721883-561D-4D72-8EBC-6242B92E8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4511363"/>
          <a:ext cx="25198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14657</xdr:colOff>
      <xdr:row>23</xdr:row>
      <xdr:rowOff>25878</xdr:rowOff>
    </xdr:from>
    <xdr:to>
      <xdr:col>11</xdr:col>
      <xdr:colOff>268669</xdr:colOff>
      <xdr:row>23</xdr:row>
      <xdr:rowOff>184278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0BA2002E-528E-4C40-BE2C-0A9E7637A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707" y="411210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26</xdr:row>
      <xdr:rowOff>26280</xdr:rowOff>
    </xdr:from>
    <xdr:to>
      <xdr:col>11</xdr:col>
      <xdr:colOff>269663</xdr:colOff>
      <xdr:row>26</xdr:row>
      <xdr:rowOff>184680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09B27669-BCE7-4461-B7CE-CF5FDEED6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471258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24</xdr:row>
      <xdr:rowOff>19669</xdr:rowOff>
    </xdr:from>
    <xdr:to>
      <xdr:col>11</xdr:col>
      <xdr:colOff>269663</xdr:colOff>
      <xdr:row>24</xdr:row>
      <xdr:rowOff>178069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BEC314B1-7D75-4FF5-9FB1-D65DF21F7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430591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26</xdr:row>
      <xdr:rowOff>20697</xdr:rowOff>
    </xdr:from>
    <xdr:to>
      <xdr:col>5</xdr:col>
      <xdr:colOff>269268</xdr:colOff>
      <xdr:row>26</xdr:row>
      <xdr:rowOff>182079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0D12AEFF-62AB-4631-91AB-D3949D868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4706997"/>
          <a:ext cx="251982" cy="161382"/>
        </a:xfrm>
        <a:prstGeom prst="rect">
          <a:avLst/>
        </a:prstGeom>
      </xdr:spPr>
    </xdr:pic>
    <xdr:clientData/>
  </xdr:twoCellAnchor>
  <xdr:twoCellAnchor editAs="oneCell">
    <xdr:from>
      <xdr:col>18</xdr:col>
      <xdr:colOff>17285</xdr:colOff>
      <xdr:row>21</xdr:row>
      <xdr:rowOff>23541</xdr:rowOff>
    </xdr:from>
    <xdr:to>
      <xdr:col>18</xdr:col>
      <xdr:colOff>272538</xdr:colOff>
      <xdr:row>21</xdr:row>
      <xdr:rowOff>181941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17A4AA37-1550-4624-ADA2-B64BAD2E4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485" y="3709716"/>
          <a:ext cx="25525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17111</xdr:colOff>
      <xdr:row>25</xdr:row>
      <xdr:rowOff>11901</xdr:rowOff>
    </xdr:from>
    <xdr:to>
      <xdr:col>18</xdr:col>
      <xdr:colOff>272711</xdr:colOff>
      <xdr:row>25</xdr:row>
      <xdr:rowOff>166718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512779DE-108A-461F-9876-D6F47D6D3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311" y="4498176"/>
          <a:ext cx="255600" cy="154817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20486</xdr:colOff>
      <xdr:row>22</xdr:row>
      <xdr:rowOff>23101</xdr:rowOff>
    </xdr:from>
    <xdr:to>
      <xdr:col>24</xdr:col>
      <xdr:colOff>274499</xdr:colOff>
      <xdr:row>22</xdr:row>
      <xdr:rowOff>181501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56A19F68-FF11-4C96-8D20-3C5FC7951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761" y="3909301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16475</xdr:colOff>
      <xdr:row>23</xdr:row>
      <xdr:rowOff>19090</xdr:rowOff>
    </xdr:from>
    <xdr:to>
      <xdr:col>18</xdr:col>
      <xdr:colOff>270487</xdr:colOff>
      <xdr:row>23</xdr:row>
      <xdr:rowOff>177490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6E55EA5B-A196-489F-AAF7-CC258FD47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9675" y="4105315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18920</xdr:colOff>
      <xdr:row>26</xdr:row>
      <xdr:rowOff>19089</xdr:rowOff>
    </xdr:from>
    <xdr:to>
      <xdr:col>18</xdr:col>
      <xdr:colOff>270902</xdr:colOff>
      <xdr:row>26</xdr:row>
      <xdr:rowOff>177489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4F6EDA6B-33F4-4EDB-82D1-51FFE5453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120" y="470538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14647</xdr:colOff>
      <xdr:row>26</xdr:row>
      <xdr:rowOff>22644</xdr:rowOff>
    </xdr:from>
    <xdr:to>
      <xdr:col>24</xdr:col>
      <xdr:colOff>268659</xdr:colOff>
      <xdr:row>26</xdr:row>
      <xdr:rowOff>182187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F86AE4C3-65E8-4746-A030-4100AB9A5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8922" y="4708944"/>
          <a:ext cx="254012" cy="159543"/>
        </a:xfrm>
        <a:prstGeom prst="rect">
          <a:avLst/>
        </a:prstGeom>
      </xdr:spPr>
    </xdr:pic>
    <xdr:clientData/>
  </xdr:twoCellAnchor>
  <xdr:twoCellAnchor editAs="oneCell">
    <xdr:from>
      <xdr:col>18</xdr:col>
      <xdr:colOff>20926</xdr:colOff>
      <xdr:row>24</xdr:row>
      <xdr:rowOff>22268</xdr:rowOff>
    </xdr:from>
    <xdr:to>
      <xdr:col>18</xdr:col>
      <xdr:colOff>272909</xdr:colOff>
      <xdr:row>24</xdr:row>
      <xdr:rowOff>183649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807111A9-8AF0-4A97-B591-025BFE179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26" y="4308518"/>
          <a:ext cx="251983" cy="161381"/>
        </a:xfrm>
        <a:prstGeom prst="rect">
          <a:avLst/>
        </a:prstGeom>
      </xdr:spPr>
    </xdr:pic>
    <xdr:clientData/>
  </xdr:twoCellAnchor>
  <xdr:twoCellAnchor editAs="oneCell">
    <xdr:from>
      <xdr:col>24</xdr:col>
      <xdr:colOff>8237</xdr:colOff>
      <xdr:row>21</xdr:row>
      <xdr:rowOff>13297</xdr:rowOff>
    </xdr:from>
    <xdr:to>
      <xdr:col>24</xdr:col>
      <xdr:colOff>263837</xdr:colOff>
      <xdr:row>21</xdr:row>
      <xdr:rowOff>166876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5F002A32-8237-447E-95F4-F3B7F313F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2512" y="3699472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24</xdr:col>
      <xdr:colOff>19519</xdr:colOff>
      <xdr:row>23</xdr:row>
      <xdr:rowOff>16852</xdr:rowOff>
    </xdr:from>
    <xdr:to>
      <xdr:col>24</xdr:col>
      <xdr:colOff>271503</xdr:colOff>
      <xdr:row>23</xdr:row>
      <xdr:rowOff>175252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52F31EDB-A733-4692-9C85-B3E970554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794" y="4103077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14649</xdr:colOff>
      <xdr:row>30</xdr:row>
      <xdr:rowOff>17262</xdr:rowOff>
    </xdr:from>
    <xdr:to>
      <xdr:col>5</xdr:col>
      <xdr:colOff>268662</xdr:colOff>
      <xdr:row>30</xdr:row>
      <xdr:rowOff>175662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DD090F0E-FB0C-4AA8-9DCE-39F8B9310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5624" y="5389362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7889</xdr:colOff>
      <xdr:row>30</xdr:row>
      <xdr:rowOff>25152</xdr:rowOff>
    </xdr:from>
    <xdr:to>
      <xdr:col>11</xdr:col>
      <xdr:colOff>269406</xdr:colOff>
      <xdr:row>30</xdr:row>
      <xdr:rowOff>183552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80A9883E-87B4-4DA1-B649-9027DE554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9939" y="5397252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16475</xdr:colOff>
      <xdr:row>29</xdr:row>
      <xdr:rowOff>29724</xdr:rowOff>
    </xdr:from>
    <xdr:to>
      <xdr:col>11</xdr:col>
      <xdr:colOff>270485</xdr:colOff>
      <xdr:row>29</xdr:row>
      <xdr:rowOff>188124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975FC765-8E19-41CE-A5B9-4656C9C56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525" y="520179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29</xdr:row>
      <xdr:rowOff>22967</xdr:rowOff>
    </xdr:from>
    <xdr:to>
      <xdr:col>5</xdr:col>
      <xdr:colOff>275873</xdr:colOff>
      <xdr:row>29</xdr:row>
      <xdr:rowOff>181367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DCF814EB-6711-439F-9CCE-D45A2CB6F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224" y="5195042"/>
          <a:ext cx="263624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12034</xdr:colOff>
      <xdr:row>33</xdr:row>
      <xdr:rowOff>32153</xdr:rowOff>
    </xdr:from>
    <xdr:to>
      <xdr:col>11</xdr:col>
      <xdr:colOff>269342</xdr:colOff>
      <xdr:row>34</xdr:row>
      <xdr:rowOff>53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3DAE4D28-D4CD-4B7E-B4FC-D1E0A89BB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4084" y="6004328"/>
          <a:ext cx="25730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16045</xdr:colOff>
      <xdr:row>31</xdr:row>
      <xdr:rowOff>17262</xdr:rowOff>
    </xdr:from>
    <xdr:to>
      <xdr:col>11</xdr:col>
      <xdr:colOff>270058</xdr:colOff>
      <xdr:row>31</xdr:row>
      <xdr:rowOff>175662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7CF08FE7-7EB7-42AA-B0D0-E5A8F4F4A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095" y="558938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11255</xdr:colOff>
      <xdr:row>34</xdr:row>
      <xdr:rowOff>32771</xdr:rowOff>
    </xdr:from>
    <xdr:to>
      <xdr:col>5</xdr:col>
      <xdr:colOff>274877</xdr:colOff>
      <xdr:row>35</xdr:row>
      <xdr:rowOff>671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8B75C794-4A1F-4764-A2B2-92092D3D7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230" y="6204971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32</xdr:row>
      <xdr:rowOff>25151</xdr:rowOff>
    </xdr:from>
    <xdr:to>
      <xdr:col>5</xdr:col>
      <xdr:colOff>275870</xdr:colOff>
      <xdr:row>32</xdr:row>
      <xdr:rowOff>183551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6C86B105-EC1C-4F22-ADF4-BE149309B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224" y="5797301"/>
          <a:ext cx="26362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16475</xdr:colOff>
      <xdr:row>32</xdr:row>
      <xdr:rowOff>19087</xdr:rowOff>
    </xdr:from>
    <xdr:to>
      <xdr:col>11</xdr:col>
      <xdr:colOff>270487</xdr:colOff>
      <xdr:row>32</xdr:row>
      <xdr:rowOff>177487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C8079BCA-EEA9-406E-BD97-77FF0A283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525" y="5791237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16260</xdr:colOff>
      <xdr:row>33</xdr:row>
      <xdr:rowOff>27701</xdr:rowOff>
    </xdr:from>
    <xdr:to>
      <xdr:col>5</xdr:col>
      <xdr:colOff>270272</xdr:colOff>
      <xdr:row>33</xdr:row>
      <xdr:rowOff>186101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9096859C-2896-4FEB-AE7B-021E30DD7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7235" y="5999876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31</xdr:row>
      <xdr:rowOff>22966</xdr:rowOff>
    </xdr:from>
    <xdr:to>
      <xdr:col>5</xdr:col>
      <xdr:colOff>275870</xdr:colOff>
      <xdr:row>31</xdr:row>
      <xdr:rowOff>181366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id="{9E694037-8B7E-480D-A6BC-5FFFFA897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224" y="5595091"/>
          <a:ext cx="26362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16341</xdr:colOff>
      <xdr:row>34</xdr:row>
      <xdr:rowOff>25948</xdr:rowOff>
    </xdr:from>
    <xdr:to>
      <xdr:col>11</xdr:col>
      <xdr:colOff>277858</xdr:colOff>
      <xdr:row>34</xdr:row>
      <xdr:rowOff>184348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74CA178A-7184-4D46-AE9C-18EB59CD6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391" y="6198148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18659</xdr:colOff>
      <xdr:row>29</xdr:row>
      <xdr:rowOff>18660</xdr:rowOff>
    </xdr:from>
    <xdr:to>
      <xdr:col>24</xdr:col>
      <xdr:colOff>272669</xdr:colOff>
      <xdr:row>29</xdr:row>
      <xdr:rowOff>177060</xdr:rowOff>
    </xdr:to>
    <xdr:pic>
      <xdr:nvPicPr>
        <xdr:cNvPr id="74" name="Imagem 73">
          <a:extLst>
            <a:ext uri="{FF2B5EF4-FFF2-40B4-BE49-F238E27FC236}">
              <a16:creationId xmlns:a16="http://schemas.microsoft.com/office/drawing/2014/main" id="{A373015A-7A16-4A4E-84EC-CE2743B1B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934" y="5190735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14199</xdr:colOff>
      <xdr:row>30</xdr:row>
      <xdr:rowOff>18528</xdr:rowOff>
    </xdr:from>
    <xdr:to>
      <xdr:col>18</xdr:col>
      <xdr:colOff>269799</xdr:colOff>
      <xdr:row>30</xdr:row>
      <xdr:rowOff>171077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C01728F5-D480-48ED-AB09-E7A29E2E3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99" y="5390628"/>
          <a:ext cx="255600" cy="152549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14136</xdr:colOff>
      <xdr:row>29</xdr:row>
      <xdr:rowOff>19090</xdr:rowOff>
    </xdr:from>
    <xdr:to>
      <xdr:col>18</xdr:col>
      <xdr:colOff>269862</xdr:colOff>
      <xdr:row>29</xdr:row>
      <xdr:rowOff>177490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id="{9B1B3074-C617-40DE-9C31-59F80D125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36" y="5191165"/>
          <a:ext cx="255726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18085</xdr:colOff>
      <xdr:row>30</xdr:row>
      <xdr:rowOff>24712</xdr:rowOff>
    </xdr:from>
    <xdr:to>
      <xdr:col>24</xdr:col>
      <xdr:colOff>272097</xdr:colOff>
      <xdr:row>30</xdr:row>
      <xdr:rowOff>181908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2EA8E30D-3FFA-4851-80FA-C1891CE54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360" y="5396812"/>
          <a:ext cx="254012" cy="157196"/>
        </a:xfrm>
        <a:prstGeom prst="rect">
          <a:avLst/>
        </a:prstGeom>
      </xdr:spPr>
    </xdr:pic>
    <xdr:clientData/>
  </xdr:twoCellAnchor>
  <xdr:twoCellAnchor editAs="oneCell">
    <xdr:from>
      <xdr:col>18</xdr:col>
      <xdr:colOff>14993</xdr:colOff>
      <xdr:row>31</xdr:row>
      <xdr:rowOff>23102</xdr:rowOff>
    </xdr:from>
    <xdr:to>
      <xdr:col>18</xdr:col>
      <xdr:colOff>269006</xdr:colOff>
      <xdr:row>31</xdr:row>
      <xdr:rowOff>181502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BFA37F83-A7BF-4B37-B157-C049D0957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8193" y="559522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20485</xdr:colOff>
      <xdr:row>34</xdr:row>
      <xdr:rowOff>27704</xdr:rowOff>
    </xdr:from>
    <xdr:to>
      <xdr:col>24</xdr:col>
      <xdr:colOff>274497</xdr:colOff>
      <xdr:row>34</xdr:row>
      <xdr:rowOff>186104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54F47CE8-B0FE-4EDA-B2E9-9CD063896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760" y="619990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31</xdr:row>
      <xdr:rowOff>18526</xdr:rowOff>
    </xdr:from>
    <xdr:to>
      <xdr:col>24</xdr:col>
      <xdr:colOff>275870</xdr:colOff>
      <xdr:row>31</xdr:row>
      <xdr:rowOff>176926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D22EB835-26F5-4382-8AE2-59868C5F6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523" y="5590651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33</xdr:row>
      <xdr:rowOff>23129</xdr:rowOff>
    </xdr:from>
    <xdr:to>
      <xdr:col>24</xdr:col>
      <xdr:colOff>275870</xdr:colOff>
      <xdr:row>33</xdr:row>
      <xdr:rowOff>181529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5A17F316-AE02-4860-964C-1595FE504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523" y="5995304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11490</xdr:colOff>
      <xdr:row>34</xdr:row>
      <xdr:rowOff>34196</xdr:rowOff>
    </xdr:from>
    <xdr:to>
      <xdr:col>18</xdr:col>
      <xdr:colOff>286225</xdr:colOff>
      <xdr:row>35</xdr:row>
      <xdr:rowOff>2096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99CE751A-B39D-4590-A0D0-C294D5E5A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690" y="6206396"/>
          <a:ext cx="274735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14135</xdr:colOff>
      <xdr:row>32</xdr:row>
      <xdr:rowOff>23316</xdr:rowOff>
    </xdr:from>
    <xdr:to>
      <xdr:col>18</xdr:col>
      <xdr:colOff>269863</xdr:colOff>
      <xdr:row>32</xdr:row>
      <xdr:rowOff>181716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9ADAC4F3-FF74-433A-BAC2-0AFCC85B2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35" y="5795466"/>
          <a:ext cx="255728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18659</xdr:colOff>
      <xdr:row>32</xdr:row>
      <xdr:rowOff>14650</xdr:rowOff>
    </xdr:from>
    <xdr:to>
      <xdr:col>24</xdr:col>
      <xdr:colOff>272671</xdr:colOff>
      <xdr:row>32</xdr:row>
      <xdr:rowOff>176032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id="{0E55710B-3AB6-49E4-8F6C-5BDD7394D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934" y="5786800"/>
          <a:ext cx="254012" cy="161382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14135</xdr:colOff>
      <xdr:row>33</xdr:row>
      <xdr:rowOff>20247</xdr:rowOff>
    </xdr:from>
    <xdr:to>
      <xdr:col>18</xdr:col>
      <xdr:colOff>269863</xdr:colOff>
      <xdr:row>33</xdr:row>
      <xdr:rowOff>178647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id="{B1104B4A-4FA6-4B33-A1AF-CA7FC9111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35" y="5992422"/>
          <a:ext cx="25572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16044</xdr:colOff>
      <xdr:row>37</xdr:row>
      <xdr:rowOff>21274</xdr:rowOff>
    </xdr:from>
    <xdr:to>
      <xdr:col>11</xdr:col>
      <xdr:colOff>270054</xdr:colOff>
      <xdr:row>37</xdr:row>
      <xdr:rowOff>179674</xdr:rowOff>
    </xdr:to>
    <xdr:pic>
      <xdr:nvPicPr>
        <xdr:cNvPr id="86" name="Imagem 85">
          <a:extLst>
            <a:ext uri="{FF2B5EF4-FFF2-40B4-BE49-F238E27FC236}">
              <a16:creationId xmlns:a16="http://schemas.microsoft.com/office/drawing/2014/main" id="{7FA47719-276C-469E-B8E4-CC172DA50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094" y="667924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11902</xdr:colOff>
      <xdr:row>37</xdr:row>
      <xdr:rowOff>17264</xdr:rowOff>
    </xdr:from>
    <xdr:to>
      <xdr:col>5</xdr:col>
      <xdr:colOff>263883</xdr:colOff>
      <xdr:row>37</xdr:row>
      <xdr:rowOff>175664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562B94CD-0AE0-4423-A968-283641F13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877" y="6675239"/>
          <a:ext cx="25198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11900</xdr:colOff>
      <xdr:row>38</xdr:row>
      <xdr:rowOff>21141</xdr:rowOff>
    </xdr:from>
    <xdr:to>
      <xdr:col>11</xdr:col>
      <xdr:colOff>273419</xdr:colOff>
      <xdr:row>38</xdr:row>
      <xdr:rowOff>179541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id="{E35F62CE-D6DC-4A0A-9D7E-480F1D65B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950" y="6879141"/>
          <a:ext cx="261519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20924</xdr:colOff>
      <xdr:row>41</xdr:row>
      <xdr:rowOff>17265</xdr:rowOff>
    </xdr:from>
    <xdr:to>
      <xdr:col>11</xdr:col>
      <xdr:colOff>272908</xdr:colOff>
      <xdr:row>41</xdr:row>
      <xdr:rowOff>175665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7BAF7827-B757-44FF-89BF-703E6BC1F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2974" y="7475340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18528</xdr:colOff>
      <xdr:row>39</xdr:row>
      <xdr:rowOff>21276</xdr:rowOff>
    </xdr:from>
    <xdr:to>
      <xdr:col>5</xdr:col>
      <xdr:colOff>270510</xdr:colOff>
      <xdr:row>39</xdr:row>
      <xdr:rowOff>179676</xdr:rowOff>
    </xdr:to>
    <xdr:pic>
      <xdr:nvPicPr>
        <xdr:cNvPr id="90" name="Imagem 89">
          <a:extLst>
            <a:ext uri="{FF2B5EF4-FFF2-40B4-BE49-F238E27FC236}">
              <a16:creationId xmlns:a16="http://schemas.microsoft.com/office/drawing/2014/main" id="{96CEE494-0511-4A75-951F-F6E43B6B2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503" y="7079301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18528</xdr:colOff>
      <xdr:row>40</xdr:row>
      <xdr:rowOff>14515</xdr:rowOff>
    </xdr:from>
    <xdr:to>
      <xdr:col>5</xdr:col>
      <xdr:colOff>286394</xdr:colOff>
      <xdr:row>40</xdr:row>
      <xdr:rowOff>172915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41593FC4-3ECC-4DC9-864F-787FDEC0F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503" y="7272565"/>
          <a:ext cx="267866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22539</xdr:colOff>
      <xdr:row>41</xdr:row>
      <xdr:rowOff>18874</xdr:rowOff>
    </xdr:from>
    <xdr:to>
      <xdr:col>5</xdr:col>
      <xdr:colOff>274521</xdr:colOff>
      <xdr:row>41</xdr:row>
      <xdr:rowOff>177274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id="{5995F98B-4828-4CF5-9023-FBE6F61E1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514" y="747694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12033</xdr:colOff>
      <xdr:row>40</xdr:row>
      <xdr:rowOff>18660</xdr:rowOff>
    </xdr:from>
    <xdr:to>
      <xdr:col>11</xdr:col>
      <xdr:colOff>266046</xdr:colOff>
      <xdr:row>40</xdr:row>
      <xdr:rowOff>177060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669EB149-C883-4B50-9D13-EE37CB5E0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4083" y="7276710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22539</xdr:colOff>
      <xdr:row>42</xdr:row>
      <xdr:rowOff>18659</xdr:rowOff>
    </xdr:from>
    <xdr:to>
      <xdr:col>5</xdr:col>
      <xdr:colOff>274521</xdr:colOff>
      <xdr:row>42</xdr:row>
      <xdr:rowOff>177059</xdr:rowOff>
    </xdr:to>
    <xdr:pic>
      <xdr:nvPicPr>
        <xdr:cNvPr id="94" name="Imagem 93">
          <a:extLst>
            <a:ext uri="{FF2B5EF4-FFF2-40B4-BE49-F238E27FC236}">
              <a16:creationId xmlns:a16="http://schemas.microsoft.com/office/drawing/2014/main" id="{4D1EF1C1-8D13-4478-8677-CBE93CEF8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514" y="767675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19520</xdr:colOff>
      <xdr:row>37</xdr:row>
      <xdr:rowOff>27140</xdr:rowOff>
    </xdr:from>
    <xdr:to>
      <xdr:col>18</xdr:col>
      <xdr:colOff>287387</xdr:colOff>
      <xdr:row>37</xdr:row>
      <xdr:rowOff>185540</xdr:rowOff>
    </xdr:to>
    <xdr:pic>
      <xdr:nvPicPr>
        <xdr:cNvPr id="95" name="Imagem 94">
          <a:extLst>
            <a:ext uri="{FF2B5EF4-FFF2-40B4-BE49-F238E27FC236}">
              <a16:creationId xmlns:a16="http://schemas.microsoft.com/office/drawing/2014/main" id="{94C9D73F-DAB5-40C6-B784-ED442661C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720" y="6685115"/>
          <a:ext cx="267867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22537</xdr:colOff>
      <xdr:row>38</xdr:row>
      <xdr:rowOff>32707</xdr:rowOff>
    </xdr:from>
    <xdr:to>
      <xdr:col>18</xdr:col>
      <xdr:colOff>274519</xdr:colOff>
      <xdr:row>39</xdr:row>
      <xdr:rowOff>607</xdr:rowOff>
    </xdr:to>
    <xdr:pic>
      <xdr:nvPicPr>
        <xdr:cNvPr id="96" name="Imagem 95">
          <a:extLst>
            <a:ext uri="{FF2B5EF4-FFF2-40B4-BE49-F238E27FC236}">
              <a16:creationId xmlns:a16="http://schemas.microsoft.com/office/drawing/2014/main" id="{859CB416-413E-4B39-B09D-6960B83A1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5737" y="6890707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16953</xdr:colOff>
      <xdr:row>38</xdr:row>
      <xdr:rowOff>29313</xdr:rowOff>
    </xdr:from>
    <xdr:to>
      <xdr:col>24</xdr:col>
      <xdr:colOff>268937</xdr:colOff>
      <xdr:row>39</xdr:row>
      <xdr:rowOff>195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15D19F3B-1309-4230-B693-189614A62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228" y="6887313"/>
          <a:ext cx="251984" cy="161382"/>
        </a:xfrm>
        <a:prstGeom prst="rect">
          <a:avLst/>
        </a:prstGeom>
      </xdr:spPr>
    </xdr:pic>
    <xdr:clientData/>
  </xdr:twoCellAnchor>
  <xdr:twoCellAnchor editAs="oneCell">
    <xdr:from>
      <xdr:col>24</xdr:col>
      <xdr:colOff>15939</xdr:colOff>
      <xdr:row>42</xdr:row>
      <xdr:rowOff>13859</xdr:rowOff>
    </xdr:from>
    <xdr:to>
      <xdr:col>24</xdr:col>
      <xdr:colOff>269951</xdr:colOff>
      <xdr:row>42</xdr:row>
      <xdr:rowOff>172259</xdr:rowOff>
    </xdr:to>
    <xdr:pic>
      <xdr:nvPicPr>
        <xdr:cNvPr id="98" name="Imagem 97">
          <a:extLst>
            <a:ext uri="{FF2B5EF4-FFF2-40B4-BE49-F238E27FC236}">
              <a16:creationId xmlns:a16="http://schemas.microsoft.com/office/drawing/2014/main" id="{69E43262-C14D-4174-9F60-B4825237F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214" y="767195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22537</xdr:colOff>
      <xdr:row>39</xdr:row>
      <xdr:rowOff>12463</xdr:rowOff>
    </xdr:from>
    <xdr:to>
      <xdr:col>18</xdr:col>
      <xdr:colOff>274519</xdr:colOff>
      <xdr:row>39</xdr:row>
      <xdr:rowOff>170863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F53E0422-91A2-4D9A-A3E1-6F5BA0FF8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5737" y="7070488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15668</xdr:colOff>
      <xdr:row>40</xdr:row>
      <xdr:rowOff>22966</xdr:rowOff>
    </xdr:from>
    <xdr:to>
      <xdr:col>24</xdr:col>
      <xdr:colOff>287285</xdr:colOff>
      <xdr:row>40</xdr:row>
      <xdr:rowOff>181366</xdr:rowOff>
    </xdr:to>
    <xdr:pic>
      <xdr:nvPicPr>
        <xdr:cNvPr id="100" name="Imagem 99">
          <a:extLst>
            <a:ext uri="{FF2B5EF4-FFF2-40B4-BE49-F238E27FC236}">
              <a16:creationId xmlns:a16="http://schemas.microsoft.com/office/drawing/2014/main" id="{7AFB1A07-BECE-4C28-897A-1D7497AEE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9943" y="7281016"/>
          <a:ext cx="271617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11900</xdr:colOff>
      <xdr:row>41</xdr:row>
      <xdr:rowOff>20352</xdr:rowOff>
    </xdr:from>
    <xdr:to>
      <xdr:col>18</xdr:col>
      <xdr:colOff>273416</xdr:colOff>
      <xdr:row>41</xdr:row>
      <xdr:rowOff>178752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BD216D26-CAD3-4773-9BDC-66BBF2774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5100" y="7478427"/>
          <a:ext cx="261516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15939</xdr:colOff>
      <xdr:row>41</xdr:row>
      <xdr:rowOff>15856</xdr:rowOff>
    </xdr:from>
    <xdr:to>
      <xdr:col>24</xdr:col>
      <xdr:colOff>269951</xdr:colOff>
      <xdr:row>41</xdr:row>
      <xdr:rowOff>174256</xdr:rowOff>
    </xdr:to>
    <xdr:pic>
      <xdr:nvPicPr>
        <xdr:cNvPr id="102" name="Imagem 101">
          <a:extLst>
            <a:ext uri="{FF2B5EF4-FFF2-40B4-BE49-F238E27FC236}">
              <a16:creationId xmlns:a16="http://schemas.microsoft.com/office/drawing/2014/main" id="{ADFB0E70-5344-47A6-A063-21715D9D5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214" y="7473931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16953</xdr:colOff>
      <xdr:row>39</xdr:row>
      <xdr:rowOff>12248</xdr:rowOff>
    </xdr:from>
    <xdr:to>
      <xdr:col>24</xdr:col>
      <xdr:colOff>268937</xdr:colOff>
      <xdr:row>39</xdr:row>
      <xdr:rowOff>170648</xdr:rowOff>
    </xdr:to>
    <xdr:pic>
      <xdr:nvPicPr>
        <xdr:cNvPr id="103" name="Imagem 102">
          <a:extLst>
            <a:ext uri="{FF2B5EF4-FFF2-40B4-BE49-F238E27FC236}">
              <a16:creationId xmlns:a16="http://schemas.microsoft.com/office/drawing/2014/main" id="{8AECA9B2-2ABA-4044-AE70-FFDD0A04E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228" y="7070273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10906</xdr:colOff>
      <xdr:row>42</xdr:row>
      <xdr:rowOff>25878</xdr:rowOff>
    </xdr:from>
    <xdr:to>
      <xdr:col>18</xdr:col>
      <xdr:colOff>262888</xdr:colOff>
      <xdr:row>42</xdr:row>
      <xdr:rowOff>184278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6D247EC0-3474-4E01-AD6A-6477775DD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106" y="7683978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12033</xdr:colOff>
      <xdr:row>40</xdr:row>
      <xdr:rowOff>19879</xdr:rowOff>
    </xdr:from>
    <xdr:to>
      <xdr:col>18</xdr:col>
      <xdr:colOff>266045</xdr:colOff>
      <xdr:row>40</xdr:row>
      <xdr:rowOff>178279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id="{F17B74FC-7C84-4098-9989-F4D7E93FB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5233" y="727792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13976</xdr:colOff>
      <xdr:row>46</xdr:row>
      <xdr:rowOff>10637</xdr:rowOff>
    </xdr:from>
    <xdr:to>
      <xdr:col>5</xdr:col>
      <xdr:colOff>271403</xdr:colOff>
      <xdr:row>46</xdr:row>
      <xdr:rowOff>169037</xdr:rowOff>
    </xdr:to>
    <xdr:pic>
      <xdr:nvPicPr>
        <xdr:cNvPr id="106" name="Imagem 105">
          <a:extLst>
            <a:ext uri="{FF2B5EF4-FFF2-40B4-BE49-F238E27FC236}">
              <a16:creationId xmlns:a16="http://schemas.microsoft.com/office/drawing/2014/main" id="{CC824493-DC0C-4550-ADD3-858933B55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951" y="8354537"/>
          <a:ext cx="25742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13976</xdr:colOff>
      <xdr:row>45</xdr:row>
      <xdr:rowOff>12248</xdr:rowOff>
    </xdr:from>
    <xdr:to>
      <xdr:col>5</xdr:col>
      <xdr:colOff>271403</xdr:colOff>
      <xdr:row>45</xdr:row>
      <xdr:rowOff>170648</xdr:rowOff>
    </xdr:to>
    <xdr:pic>
      <xdr:nvPicPr>
        <xdr:cNvPr id="107" name="Imagem 106">
          <a:extLst>
            <a:ext uri="{FF2B5EF4-FFF2-40B4-BE49-F238E27FC236}">
              <a16:creationId xmlns:a16="http://schemas.microsoft.com/office/drawing/2014/main" id="{C9B9B2AD-E391-4A11-A684-04BACE83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951" y="8156123"/>
          <a:ext cx="25742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20484</xdr:colOff>
      <xdr:row>46</xdr:row>
      <xdr:rowOff>23100</xdr:rowOff>
    </xdr:from>
    <xdr:to>
      <xdr:col>11</xdr:col>
      <xdr:colOff>274496</xdr:colOff>
      <xdr:row>46</xdr:row>
      <xdr:rowOff>181500</xdr:rowOff>
    </xdr:to>
    <xdr:pic>
      <xdr:nvPicPr>
        <xdr:cNvPr id="108" name="Imagem 107">
          <a:extLst>
            <a:ext uri="{FF2B5EF4-FFF2-40B4-BE49-F238E27FC236}">
              <a16:creationId xmlns:a16="http://schemas.microsoft.com/office/drawing/2014/main" id="{A1638CFF-838A-4063-875E-3FBAACCDB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2534" y="836700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11899</xdr:colOff>
      <xdr:row>49</xdr:row>
      <xdr:rowOff>18526</xdr:rowOff>
    </xdr:from>
    <xdr:to>
      <xdr:col>11</xdr:col>
      <xdr:colOff>273416</xdr:colOff>
      <xdr:row>49</xdr:row>
      <xdr:rowOff>176926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8FB7B86D-927B-496A-9E94-2D47B8ECE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949" y="8962501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47</xdr:row>
      <xdr:rowOff>11901</xdr:rowOff>
    </xdr:from>
    <xdr:to>
      <xdr:col>5</xdr:col>
      <xdr:colOff>277394</xdr:colOff>
      <xdr:row>47</xdr:row>
      <xdr:rowOff>170301</xdr:rowOff>
    </xdr:to>
    <xdr:pic>
      <xdr:nvPicPr>
        <xdr:cNvPr id="110" name="Imagem 109">
          <a:extLst>
            <a:ext uri="{FF2B5EF4-FFF2-40B4-BE49-F238E27FC236}">
              <a16:creationId xmlns:a16="http://schemas.microsoft.com/office/drawing/2014/main" id="{80B6E1AB-17B0-434B-B37F-7800EF491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940" y="8555826"/>
          <a:ext cx="2674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49</xdr:row>
      <xdr:rowOff>11220</xdr:rowOff>
    </xdr:from>
    <xdr:to>
      <xdr:col>5</xdr:col>
      <xdr:colOff>272021</xdr:colOff>
      <xdr:row>49</xdr:row>
      <xdr:rowOff>169620</xdr:rowOff>
    </xdr:to>
    <xdr:pic>
      <xdr:nvPicPr>
        <xdr:cNvPr id="111" name="Imagem 110">
          <a:extLst>
            <a:ext uri="{FF2B5EF4-FFF2-40B4-BE49-F238E27FC236}">
              <a16:creationId xmlns:a16="http://schemas.microsoft.com/office/drawing/2014/main" id="{F8EF054E-6D5A-4521-A0D6-EA9E7CDA3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940" y="8955195"/>
          <a:ext cx="262056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48</xdr:row>
      <xdr:rowOff>11220</xdr:rowOff>
    </xdr:from>
    <xdr:to>
      <xdr:col>5</xdr:col>
      <xdr:colOff>272022</xdr:colOff>
      <xdr:row>48</xdr:row>
      <xdr:rowOff>169620</xdr:rowOff>
    </xdr:to>
    <xdr:pic>
      <xdr:nvPicPr>
        <xdr:cNvPr id="112" name="Imagem 111">
          <a:extLst>
            <a:ext uri="{FF2B5EF4-FFF2-40B4-BE49-F238E27FC236}">
              <a16:creationId xmlns:a16="http://schemas.microsoft.com/office/drawing/2014/main" id="{935120C8-DCB7-4583-9D48-C7B909593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940" y="8755170"/>
          <a:ext cx="26205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14648</xdr:colOff>
      <xdr:row>47</xdr:row>
      <xdr:rowOff>10638</xdr:rowOff>
    </xdr:from>
    <xdr:to>
      <xdr:col>11</xdr:col>
      <xdr:colOff>268660</xdr:colOff>
      <xdr:row>47</xdr:row>
      <xdr:rowOff>169038</xdr:rowOff>
    </xdr:to>
    <xdr:pic>
      <xdr:nvPicPr>
        <xdr:cNvPr id="113" name="Imagem 112">
          <a:extLst>
            <a:ext uri="{FF2B5EF4-FFF2-40B4-BE49-F238E27FC236}">
              <a16:creationId xmlns:a16="http://schemas.microsoft.com/office/drawing/2014/main" id="{390AD666-E3D9-4E1F-A4CD-2AB617D8E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698" y="855456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14648</xdr:colOff>
      <xdr:row>50</xdr:row>
      <xdr:rowOff>12033</xdr:rowOff>
    </xdr:from>
    <xdr:to>
      <xdr:col>11</xdr:col>
      <xdr:colOff>268660</xdr:colOff>
      <xdr:row>50</xdr:row>
      <xdr:rowOff>170433</xdr:rowOff>
    </xdr:to>
    <xdr:pic>
      <xdr:nvPicPr>
        <xdr:cNvPr id="114" name="Imagem 113">
          <a:extLst>
            <a:ext uri="{FF2B5EF4-FFF2-40B4-BE49-F238E27FC236}">
              <a16:creationId xmlns:a16="http://schemas.microsoft.com/office/drawing/2014/main" id="{83BD6C0D-0017-466D-AFC5-D3C199C85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698" y="915603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16044</xdr:colOff>
      <xdr:row>46</xdr:row>
      <xdr:rowOff>18660</xdr:rowOff>
    </xdr:from>
    <xdr:to>
      <xdr:col>18</xdr:col>
      <xdr:colOff>270056</xdr:colOff>
      <xdr:row>46</xdr:row>
      <xdr:rowOff>177060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id="{F0A510DC-A32D-4409-A7DD-31238B913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9244" y="836256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16259</xdr:colOff>
      <xdr:row>45</xdr:row>
      <xdr:rowOff>18875</xdr:rowOff>
    </xdr:from>
    <xdr:to>
      <xdr:col>24</xdr:col>
      <xdr:colOff>270271</xdr:colOff>
      <xdr:row>45</xdr:row>
      <xdr:rowOff>177275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id="{A2FE40C2-0FF6-4B0A-B25E-DF0C51D6C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534" y="816275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46</xdr:row>
      <xdr:rowOff>16474</xdr:rowOff>
    </xdr:from>
    <xdr:to>
      <xdr:col>24</xdr:col>
      <xdr:colOff>266260</xdr:colOff>
      <xdr:row>46</xdr:row>
      <xdr:rowOff>174874</xdr:rowOff>
    </xdr:to>
    <xdr:pic>
      <xdr:nvPicPr>
        <xdr:cNvPr id="117" name="Imagem 116">
          <a:extLst>
            <a:ext uri="{FF2B5EF4-FFF2-40B4-BE49-F238E27FC236}">
              <a16:creationId xmlns:a16="http://schemas.microsoft.com/office/drawing/2014/main" id="{929B5A46-4F3A-4E38-82EC-6FFB360F8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523" y="836037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14648</xdr:colOff>
      <xdr:row>45</xdr:row>
      <xdr:rowOff>16342</xdr:rowOff>
    </xdr:from>
    <xdr:to>
      <xdr:col>18</xdr:col>
      <xdr:colOff>270248</xdr:colOff>
      <xdr:row>45</xdr:row>
      <xdr:rowOff>169922</xdr:rowOff>
    </xdr:to>
    <xdr:pic>
      <xdr:nvPicPr>
        <xdr:cNvPr id="118" name="Imagem 117">
          <a:extLst>
            <a:ext uri="{FF2B5EF4-FFF2-40B4-BE49-F238E27FC236}">
              <a16:creationId xmlns:a16="http://schemas.microsoft.com/office/drawing/2014/main" id="{89108ABD-B431-47AE-B258-4D426A764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848" y="8160217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20270</xdr:colOff>
      <xdr:row>50</xdr:row>
      <xdr:rowOff>25289</xdr:rowOff>
    </xdr:from>
    <xdr:to>
      <xdr:col>24</xdr:col>
      <xdr:colOff>274280</xdr:colOff>
      <xdr:row>50</xdr:row>
      <xdr:rowOff>183689</xdr:rowOff>
    </xdr:to>
    <xdr:pic>
      <xdr:nvPicPr>
        <xdr:cNvPr id="119" name="Imagem 118">
          <a:extLst>
            <a:ext uri="{FF2B5EF4-FFF2-40B4-BE49-F238E27FC236}">
              <a16:creationId xmlns:a16="http://schemas.microsoft.com/office/drawing/2014/main" id="{5C92128F-BA2C-4C59-ACD3-FADE2E9E4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545" y="916928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22885</xdr:colOff>
      <xdr:row>47</xdr:row>
      <xdr:rowOff>17264</xdr:rowOff>
    </xdr:from>
    <xdr:to>
      <xdr:col>24</xdr:col>
      <xdr:colOff>276897</xdr:colOff>
      <xdr:row>47</xdr:row>
      <xdr:rowOff>175664</xdr:rowOff>
    </xdr:to>
    <xdr:pic>
      <xdr:nvPicPr>
        <xdr:cNvPr id="120" name="Imagem 119">
          <a:extLst>
            <a:ext uri="{FF2B5EF4-FFF2-40B4-BE49-F238E27FC236}">
              <a16:creationId xmlns:a16="http://schemas.microsoft.com/office/drawing/2014/main" id="{641199E5-7689-4D19-B389-FD8522276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160" y="856118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8237</xdr:colOff>
      <xdr:row>49</xdr:row>
      <xdr:rowOff>13727</xdr:rowOff>
    </xdr:from>
    <xdr:to>
      <xdr:col>24</xdr:col>
      <xdr:colOff>263837</xdr:colOff>
      <xdr:row>49</xdr:row>
      <xdr:rowOff>167307</xdr:rowOff>
    </xdr:to>
    <xdr:pic>
      <xdr:nvPicPr>
        <xdr:cNvPr id="121" name="Imagem 120">
          <a:extLst>
            <a:ext uri="{FF2B5EF4-FFF2-40B4-BE49-F238E27FC236}">
              <a16:creationId xmlns:a16="http://schemas.microsoft.com/office/drawing/2014/main" id="{B7D21189-831B-49E2-9C12-2C04FB7C9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2512" y="8957702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18</xdr:col>
      <xdr:colOff>16689</xdr:colOff>
      <xdr:row>47</xdr:row>
      <xdr:rowOff>16690</xdr:rowOff>
    </xdr:from>
    <xdr:to>
      <xdr:col>18</xdr:col>
      <xdr:colOff>270701</xdr:colOff>
      <xdr:row>47</xdr:row>
      <xdr:rowOff>175090</xdr:rowOff>
    </xdr:to>
    <xdr:pic>
      <xdr:nvPicPr>
        <xdr:cNvPr id="122" name="Imagem 121">
          <a:extLst>
            <a:ext uri="{FF2B5EF4-FFF2-40B4-BE49-F238E27FC236}">
              <a16:creationId xmlns:a16="http://schemas.microsoft.com/office/drawing/2014/main" id="{8B9B28D2-79E1-43CF-A0A1-859181F96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9889" y="8560615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18659</xdr:colOff>
      <xdr:row>49</xdr:row>
      <xdr:rowOff>23101</xdr:rowOff>
    </xdr:from>
    <xdr:to>
      <xdr:col>18</xdr:col>
      <xdr:colOff>272671</xdr:colOff>
      <xdr:row>49</xdr:row>
      <xdr:rowOff>181501</xdr:rowOff>
    </xdr:to>
    <xdr:pic>
      <xdr:nvPicPr>
        <xdr:cNvPr id="123" name="Imagem 122">
          <a:extLst>
            <a:ext uri="{FF2B5EF4-FFF2-40B4-BE49-F238E27FC236}">
              <a16:creationId xmlns:a16="http://schemas.microsoft.com/office/drawing/2014/main" id="{B3C9DC89-E4C6-4D7A-9260-3C6ACA39F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859" y="8967076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14648</xdr:colOff>
      <xdr:row>48</xdr:row>
      <xdr:rowOff>19089</xdr:rowOff>
    </xdr:from>
    <xdr:to>
      <xdr:col>18</xdr:col>
      <xdr:colOff>268660</xdr:colOff>
      <xdr:row>48</xdr:row>
      <xdr:rowOff>177489</xdr:rowOff>
    </xdr:to>
    <xdr:pic>
      <xdr:nvPicPr>
        <xdr:cNvPr id="124" name="Imagem 123">
          <a:extLst>
            <a:ext uri="{FF2B5EF4-FFF2-40B4-BE49-F238E27FC236}">
              <a16:creationId xmlns:a16="http://schemas.microsoft.com/office/drawing/2014/main" id="{9C639EF3-E041-43AD-B632-A838BFF32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848" y="876303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18874</xdr:colOff>
      <xdr:row>48</xdr:row>
      <xdr:rowOff>18527</xdr:rowOff>
    </xdr:from>
    <xdr:to>
      <xdr:col>24</xdr:col>
      <xdr:colOff>274474</xdr:colOff>
      <xdr:row>48</xdr:row>
      <xdr:rowOff>172107</xdr:rowOff>
    </xdr:to>
    <xdr:pic>
      <xdr:nvPicPr>
        <xdr:cNvPr id="125" name="Imagem 124">
          <a:extLst>
            <a:ext uri="{FF2B5EF4-FFF2-40B4-BE49-F238E27FC236}">
              <a16:creationId xmlns:a16="http://schemas.microsoft.com/office/drawing/2014/main" id="{DCF86CEF-B85E-42FC-AD27-772AB057E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149" y="8762477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18</xdr:col>
      <xdr:colOff>18659</xdr:colOff>
      <xdr:row>50</xdr:row>
      <xdr:rowOff>22538</xdr:rowOff>
    </xdr:from>
    <xdr:to>
      <xdr:col>18</xdr:col>
      <xdr:colOff>274259</xdr:colOff>
      <xdr:row>50</xdr:row>
      <xdr:rowOff>176118</xdr:rowOff>
    </xdr:to>
    <xdr:pic>
      <xdr:nvPicPr>
        <xdr:cNvPr id="126" name="Imagem 125">
          <a:extLst>
            <a:ext uri="{FF2B5EF4-FFF2-40B4-BE49-F238E27FC236}">
              <a16:creationId xmlns:a16="http://schemas.microsoft.com/office/drawing/2014/main" id="{FEF5A72F-4FE9-4002-B8FE-6D1067F42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859" y="9166538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17204</xdr:colOff>
      <xdr:row>37</xdr:row>
      <xdr:rowOff>0</xdr:rowOff>
    </xdr:from>
    <xdr:to>
      <xdr:col>24</xdr:col>
      <xdr:colOff>268686</xdr:colOff>
      <xdr:row>37</xdr:row>
      <xdr:rowOff>160034</xdr:rowOff>
    </xdr:to>
    <xdr:pic>
      <xdr:nvPicPr>
        <xdr:cNvPr id="127" name="Imagem 126">
          <a:extLst>
            <a:ext uri="{FF2B5EF4-FFF2-40B4-BE49-F238E27FC236}">
              <a16:creationId xmlns:a16="http://schemas.microsoft.com/office/drawing/2014/main" id="{E8CD9181-15DC-4511-8890-75FC0D4C1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1361479" y="6657975"/>
          <a:ext cx="251482" cy="160034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</xdr:colOff>
      <xdr:row>7</xdr:row>
      <xdr:rowOff>30480</xdr:rowOff>
    </xdr:from>
    <xdr:to>
      <xdr:col>5</xdr:col>
      <xdr:colOff>270840</xdr:colOff>
      <xdr:row>7</xdr:row>
      <xdr:rowOff>188880</xdr:rowOff>
    </xdr:to>
    <xdr:pic>
      <xdr:nvPicPr>
        <xdr:cNvPr id="128" name="Imagem 127">
          <a:extLst>
            <a:ext uri="{FF2B5EF4-FFF2-40B4-BE49-F238E27FC236}">
              <a16:creationId xmlns:a16="http://schemas.microsoft.com/office/drawing/2014/main" id="{F1CEC361-2D51-444C-8D80-D28331EEC6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215" y="11449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</xdr:colOff>
      <xdr:row>9</xdr:row>
      <xdr:rowOff>30480</xdr:rowOff>
    </xdr:from>
    <xdr:to>
      <xdr:col>5</xdr:col>
      <xdr:colOff>270840</xdr:colOff>
      <xdr:row>9</xdr:row>
      <xdr:rowOff>188880</xdr:rowOff>
    </xdr:to>
    <xdr:pic>
      <xdr:nvPicPr>
        <xdr:cNvPr id="129" name="Imagem 128">
          <a:extLst>
            <a:ext uri="{FF2B5EF4-FFF2-40B4-BE49-F238E27FC236}">
              <a16:creationId xmlns:a16="http://schemas.microsoft.com/office/drawing/2014/main" id="{51ED6742-906D-4459-86FC-93C81387A1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215" y="154495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</xdr:colOff>
      <xdr:row>6</xdr:row>
      <xdr:rowOff>30480</xdr:rowOff>
    </xdr:from>
    <xdr:to>
      <xdr:col>11</xdr:col>
      <xdr:colOff>270840</xdr:colOff>
      <xdr:row>6</xdr:row>
      <xdr:rowOff>188880</xdr:rowOff>
    </xdr:to>
    <xdr:pic>
      <xdr:nvPicPr>
        <xdr:cNvPr id="130" name="Imagem 129">
          <a:extLst>
            <a:ext uri="{FF2B5EF4-FFF2-40B4-BE49-F238E27FC236}">
              <a16:creationId xmlns:a16="http://schemas.microsoft.com/office/drawing/2014/main" id="{2A4D5220-3836-4969-97DA-F6F97B49AF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290" y="94488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20162</xdr:colOff>
      <xdr:row>10</xdr:row>
      <xdr:rowOff>22859</xdr:rowOff>
    </xdr:from>
    <xdr:to>
      <xdr:col>18</xdr:col>
      <xdr:colOff>275762</xdr:colOff>
      <xdr:row>10</xdr:row>
      <xdr:rowOff>181259</xdr:rowOff>
    </xdr:to>
    <xdr:pic>
      <xdr:nvPicPr>
        <xdr:cNvPr id="131" name="Imagem 130">
          <a:extLst>
            <a:ext uri="{FF2B5EF4-FFF2-40B4-BE49-F238E27FC236}">
              <a16:creationId xmlns:a16="http://schemas.microsoft.com/office/drawing/2014/main" id="{A70375E1-5E2C-4733-B343-2189F83238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3362" y="1737359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19284</xdr:colOff>
      <xdr:row>5</xdr:row>
      <xdr:rowOff>38099</xdr:rowOff>
    </xdr:from>
    <xdr:to>
      <xdr:col>24</xdr:col>
      <xdr:colOff>274884</xdr:colOff>
      <xdr:row>6</xdr:row>
      <xdr:rowOff>5999</xdr:rowOff>
    </xdr:to>
    <xdr:pic>
      <xdr:nvPicPr>
        <xdr:cNvPr id="132" name="Imagem 131">
          <a:extLst>
            <a:ext uri="{FF2B5EF4-FFF2-40B4-BE49-F238E27FC236}">
              <a16:creationId xmlns:a16="http://schemas.microsoft.com/office/drawing/2014/main" id="{27563F1A-8C9E-4478-8742-C2A4146522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559" y="752474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19284</xdr:colOff>
      <xdr:row>7</xdr:row>
      <xdr:rowOff>30479</xdr:rowOff>
    </xdr:from>
    <xdr:to>
      <xdr:col>24</xdr:col>
      <xdr:colOff>274884</xdr:colOff>
      <xdr:row>7</xdr:row>
      <xdr:rowOff>188879</xdr:rowOff>
    </xdr:to>
    <xdr:pic>
      <xdr:nvPicPr>
        <xdr:cNvPr id="133" name="Imagem 132">
          <a:extLst>
            <a:ext uri="{FF2B5EF4-FFF2-40B4-BE49-F238E27FC236}">
              <a16:creationId xmlns:a16="http://schemas.microsoft.com/office/drawing/2014/main" id="{96FADD7A-19F1-48B3-AC64-3DF6C0A7E4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559" y="1144904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15</xdr:row>
      <xdr:rowOff>30480</xdr:rowOff>
    </xdr:from>
    <xdr:to>
      <xdr:col>18</xdr:col>
      <xdr:colOff>273154</xdr:colOff>
      <xdr:row>15</xdr:row>
      <xdr:rowOff>188880</xdr:rowOff>
    </xdr:to>
    <xdr:pic>
      <xdr:nvPicPr>
        <xdr:cNvPr id="134" name="Imagem 133">
          <a:extLst>
            <a:ext uri="{FF2B5EF4-FFF2-40B4-BE49-F238E27FC236}">
              <a16:creationId xmlns:a16="http://schemas.microsoft.com/office/drawing/2014/main" id="{449DDC62-54CB-40BA-8F3F-183B7FC194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754" y="26308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17</xdr:row>
      <xdr:rowOff>30480</xdr:rowOff>
    </xdr:from>
    <xdr:to>
      <xdr:col>18</xdr:col>
      <xdr:colOff>273154</xdr:colOff>
      <xdr:row>17</xdr:row>
      <xdr:rowOff>188880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E5AC5906-D691-4EC8-BEC2-D9FABD9B6D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754" y="303085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</xdr:colOff>
      <xdr:row>14</xdr:row>
      <xdr:rowOff>30480</xdr:rowOff>
    </xdr:from>
    <xdr:to>
      <xdr:col>24</xdr:col>
      <xdr:colOff>270840</xdr:colOff>
      <xdr:row>14</xdr:row>
      <xdr:rowOff>188880</xdr:rowOff>
    </xdr:to>
    <xdr:pic>
      <xdr:nvPicPr>
        <xdr:cNvPr id="136" name="Imagem 135">
          <a:extLst>
            <a:ext uri="{FF2B5EF4-FFF2-40B4-BE49-F238E27FC236}">
              <a16:creationId xmlns:a16="http://schemas.microsoft.com/office/drawing/2014/main" id="{B3015D50-0655-4821-A143-5A7A57D0EC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9515" y="243078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18131</xdr:colOff>
      <xdr:row>22</xdr:row>
      <xdr:rowOff>31006</xdr:rowOff>
    </xdr:from>
    <xdr:to>
      <xdr:col>18</xdr:col>
      <xdr:colOff>273731</xdr:colOff>
      <xdr:row>22</xdr:row>
      <xdr:rowOff>189406</xdr:rowOff>
    </xdr:to>
    <xdr:pic>
      <xdr:nvPicPr>
        <xdr:cNvPr id="137" name="Imagem 136">
          <a:extLst>
            <a:ext uri="{FF2B5EF4-FFF2-40B4-BE49-F238E27FC236}">
              <a16:creationId xmlns:a16="http://schemas.microsoft.com/office/drawing/2014/main" id="{C191B63F-A5FB-480E-8274-0AADA2A4FD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331" y="3917206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18131</xdr:colOff>
      <xdr:row>24</xdr:row>
      <xdr:rowOff>25751</xdr:rowOff>
    </xdr:from>
    <xdr:to>
      <xdr:col>24</xdr:col>
      <xdr:colOff>273731</xdr:colOff>
      <xdr:row>24</xdr:row>
      <xdr:rowOff>184151</xdr:rowOff>
    </xdr:to>
    <xdr:pic>
      <xdr:nvPicPr>
        <xdr:cNvPr id="138" name="Imagem 137">
          <a:extLst>
            <a:ext uri="{FF2B5EF4-FFF2-40B4-BE49-F238E27FC236}">
              <a16:creationId xmlns:a16="http://schemas.microsoft.com/office/drawing/2014/main" id="{733BA956-0E88-462D-A937-38EEBED277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406" y="4312001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18132</xdr:colOff>
      <xdr:row>25</xdr:row>
      <xdr:rowOff>36262</xdr:rowOff>
    </xdr:from>
    <xdr:to>
      <xdr:col>24</xdr:col>
      <xdr:colOff>273732</xdr:colOff>
      <xdr:row>26</xdr:row>
      <xdr:rowOff>4162</xdr:rowOff>
    </xdr:to>
    <xdr:pic>
      <xdr:nvPicPr>
        <xdr:cNvPr id="139" name="Imagem 138">
          <a:extLst>
            <a:ext uri="{FF2B5EF4-FFF2-40B4-BE49-F238E27FC236}">
              <a16:creationId xmlns:a16="http://schemas.microsoft.com/office/drawing/2014/main" id="{AA8C3C3E-4F90-4634-B6F7-8555A2E570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407" y="4522537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13252</xdr:colOff>
      <xdr:row>38</xdr:row>
      <xdr:rowOff>26505</xdr:rowOff>
    </xdr:from>
    <xdr:to>
      <xdr:col>5</xdr:col>
      <xdr:colOff>268852</xdr:colOff>
      <xdr:row>38</xdr:row>
      <xdr:rowOff>184905</xdr:rowOff>
    </xdr:to>
    <xdr:pic>
      <xdr:nvPicPr>
        <xdr:cNvPr id="140" name="Imagem 139">
          <a:extLst>
            <a:ext uri="{FF2B5EF4-FFF2-40B4-BE49-F238E27FC236}">
              <a16:creationId xmlns:a16="http://schemas.microsoft.com/office/drawing/2014/main" id="{C79F30A4-D3AF-42CB-BCFD-D7D8C8EAE3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227" y="68845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13253</xdr:colOff>
      <xdr:row>39</xdr:row>
      <xdr:rowOff>19878</xdr:rowOff>
    </xdr:from>
    <xdr:to>
      <xdr:col>11</xdr:col>
      <xdr:colOff>268853</xdr:colOff>
      <xdr:row>39</xdr:row>
      <xdr:rowOff>178278</xdr:rowOff>
    </xdr:to>
    <xdr:pic>
      <xdr:nvPicPr>
        <xdr:cNvPr id="141" name="Imagem 140">
          <a:extLst>
            <a:ext uri="{FF2B5EF4-FFF2-40B4-BE49-F238E27FC236}">
              <a16:creationId xmlns:a16="http://schemas.microsoft.com/office/drawing/2014/main" id="{81DFE5DC-41EE-4306-853C-07B9422174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5303" y="7077903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19879</xdr:colOff>
      <xdr:row>42</xdr:row>
      <xdr:rowOff>26505</xdr:rowOff>
    </xdr:from>
    <xdr:to>
      <xdr:col>11</xdr:col>
      <xdr:colOff>275479</xdr:colOff>
      <xdr:row>42</xdr:row>
      <xdr:rowOff>184905</xdr:rowOff>
    </xdr:to>
    <xdr:pic>
      <xdr:nvPicPr>
        <xdr:cNvPr id="142" name="Imagem 141">
          <a:extLst>
            <a:ext uri="{FF2B5EF4-FFF2-40B4-BE49-F238E27FC236}">
              <a16:creationId xmlns:a16="http://schemas.microsoft.com/office/drawing/2014/main" id="{270543A2-AAB8-43A0-AC7E-5EF2D8B1D5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929" y="76846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13253</xdr:colOff>
      <xdr:row>50</xdr:row>
      <xdr:rowOff>19878</xdr:rowOff>
    </xdr:from>
    <xdr:to>
      <xdr:col>5</xdr:col>
      <xdr:colOff>268853</xdr:colOff>
      <xdr:row>50</xdr:row>
      <xdr:rowOff>178278</xdr:rowOff>
    </xdr:to>
    <xdr:pic>
      <xdr:nvPicPr>
        <xdr:cNvPr id="143" name="Imagem 142">
          <a:extLst>
            <a:ext uri="{FF2B5EF4-FFF2-40B4-BE49-F238E27FC236}">
              <a16:creationId xmlns:a16="http://schemas.microsoft.com/office/drawing/2014/main" id="{C70A0882-39B7-4763-A1B7-A2B658EE9A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228" y="9163878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19880</xdr:colOff>
      <xdr:row>45</xdr:row>
      <xdr:rowOff>39755</xdr:rowOff>
    </xdr:from>
    <xdr:to>
      <xdr:col>11</xdr:col>
      <xdr:colOff>275480</xdr:colOff>
      <xdr:row>46</xdr:row>
      <xdr:rowOff>7655</xdr:rowOff>
    </xdr:to>
    <xdr:pic>
      <xdr:nvPicPr>
        <xdr:cNvPr id="144" name="Imagem 143">
          <a:extLst>
            <a:ext uri="{FF2B5EF4-FFF2-40B4-BE49-F238E27FC236}">
              <a16:creationId xmlns:a16="http://schemas.microsoft.com/office/drawing/2014/main" id="{E1AD7646-298D-4455-BC1B-AB900BE35A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930" y="818363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13254</xdr:colOff>
      <xdr:row>48</xdr:row>
      <xdr:rowOff>26504</xdr:rowOff>
    </xdr:from>
    <xdr:to>
      <xdr:col>11</xdr:col>
      <xdr:colOff>268854</xdr:colOff>
      <xdr:row>48</xdr:row>
      <xdr:rowOff>184904</xdr:rowOff>
    </xdr:to>
    <xdr:pic>
      <xdr:nvPicPr>
        <xdr:cNvPr id="145" name="Imagem 144">
          <a:extLst>
            <a:ext uri="{FF2B5EF4-FFF2-40B4-BE49-F238E27FC236}">
              <a16:creationId xmlns:a16="http://schemas.microsoft.com/office/drawing/2014/main" id="{5D2274CD-2E4D-4C99-BA38-D46F346FA7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5304" y="8770454"/>
          <a:ext cx="255600" cy="1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329565</xdr:colOff>
      <xdr:row>3</xdr:row>
      <xdr:rowOff>104776</xdr:rowOff>
    </xdr:from>
    <xdr:to>
      <xdr:col>18</xdr:col>
      <xdr:colOff>1232676</xdr:colOff>
      <xdr:row>12</xdr:row>
      <xdr:rowOff>180975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740C378-06B2-4021-8644-0404D6403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0390" y="1476376"/>
          <a:ext cx="903111" cy="19049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Usu&#225;rio/Downloads/TABELA-DA-COPA-2026-PARA-IMPRESSAO-2.0%20-%20Copia.xlsx" TargetMode="External"/><Relationship Id="rId2" Type="http://schemas.openxmlformats.org/officeDocument/2006/relationships/externalLinkPath" Target="file:///C:\Users\Usu&#225;rio\Downloads\TABELA-DA-COPA-2026-PARA-IMPRESSAO-2.0%20-%20Copia.xlsx" TargetMode="External"/><Relationship Id="rId1" Type="http://schemas.openxmlformats.org/officeDocument/2006/relationships/externalLinkPath" Target="/Users/Usu&#225;rio/Downloads/TABELA-DA-COPA-2026-PARA-IMPRESSAO-2.0%20-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struções"/>
      <sheetName val="Repescagem"/>
      <sheetName val="Grupos"/>
      <sheetName val="Mata-Mata"/>
    </sheetNames>
    <sheetDataSet>
      <sheetData sheetId="0"/>
      <sheetData sheetId="1">
        <row r="4">
          <cell r="D4" t="str">
            <v>Bósnia e Herzegovina</v>
          </cell>
        </row>
        <row r="5">
          <cell r="D5" t="str">
            <v>Suécia</v>
          </cell>
        </row>
        <row r="6">
          <cell r="D6" t="str">
            <v>Turquia</v>
          </cell>
        </row>
        <row r="7">
          <cell r="D7" t="str">
            <v>República Tcheca</v>
          </cell>
        </row>
        <row r="8">
          <cell r="D8" t="str">
            <v>RD do Congo</v>
          </cell>
        </row>
        <row r="9">
          <cell r="D9" t="str">
            <v>Iraque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03C8C-0045-4690-938E-BF77E74EBBDD}">
  <dimension ref="A1:AD54"/>
  <sheetViews>
    <sheetView tabSelected="1" topLeftCell="C2" workbookViewId="0">
      <selection activeCell="AE15" sqref="AE15"/>
    </sheetView>
  </sheetViews>
  <sheetFormatPr defaultRowHeight="15" x14ac:dyDescent="0.25"/>
  <cols>
    <col min="1" max="1" width="5.140625" customWidth="1"/>
    <col min="2" max="2" width="4" customWidth="1"/>
    <col min="3" max="3" width="19.140625" bestFit="1" customWidth="1"/>
    <col min="4" max="4" width="17.5703125" bestFit="1" customWidth="1"/>
    <col min="5" max="5" width="0.5703125" customWidth="1"/>
    <col min="6" max="6" width="4.42578125" customWidth="1"/>
    <col min="7" max="7" width="0.5703125" customWidth="1"/>
    <col min="8" max="10" width="5.7109375" customWidth="1"/>
    <col min="11" max="11" width="0.5703125" customWidth="1"/>
    <col min="12" max="12" width="4.42578125" customWidth="1"/>
    <col min="13" max="13" width="0.7109375" customWidth="1"/>
    <col min="14" max="14" width="17.5703125" bestFit="1" customWidth="1"/>
    <col min="16" max="16" width="19.140625" bestFit="1" customWidth="1"/>
    <col min="17" max="17" width="21.42578125" bestFit="1" customWidth="1"/>
    <col min="18" max="18" width="0.7109375" customWidth="1"/>
    <col min="19" max="19" width="4.42578125" customWidth="1"/>
    <col min="20" max="20" width="0.42578125" customWidth="1"/>
    <col min="21" max="23" width="5.7109375" customWidth="1"/>
    <col min="24" max="24" width="0.42578125" customWidth="1"/>
    <col min="25" max="25" width="4.42578125" customWidth="1"/>
    <col min="26" max="26" width="0.42578125" customWidth="1"/>
    <col min="27" max="27" width="21.42578125" bestFit="1" customWidth="1"/>
  </cols>
  <sheetData>
    <row r="1" spans="1:30" ht="15.75" x14ac:dyDescent="0.25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"/>
    </row>
    <row r="2" spans="1:30" ht="33.75" x14ac:dyDescent="0.25">
      <c r="A2" s="1"/>
      <c r="B2" s="1"/>
      <c r="C2" s="129" t="s">
        <v>0</v>
      </c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"/>
      <c r="AC2" s="1"/>
      <c r="AD2" s="4"/>
    </row>
    <row r="3" spans="1:30" ht="15.75" x14ac:dyDescent="0.25">
      <c r="A3" s="1"/>
      <c r="B3" s="1"/>
      <c r="C3" s="5"/>
      <c r="D3" s="6"/>
      <c r="E3" s="5"/>
      <c r="F3" s="5"/>
      <c r="G3" s="5"/>
      <c r="H3" s="5"/>
      <c r="I3" s="5"/>
      <c r="J3" s="5"/>
      <c r="K3" s="5"/>
      <c r="L3" s="5"/>
      <c r="M3" s="5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1"/>
      <c r="AC3" s="1"/>
      <c r="AD3" s="4"/>
    </row>
    <row r="4" spans="1:30" ht="16.5" thickBot="1" x14ac:dyDescent="0.3">
      <c r="A4" s="1"/>
      <c r="B4" s="1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4"/>
    </row>
    <row r="5" spans="1:30" ht="16.5" thickBot="1" x14ac:dyDescent="0.3">
      <c r="A5" s="1"/>
      <c r="B5" s="1"/>
      <c r="C5" s="126" t="s">
        <v>1</v>
      </c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8"/>
      <c r="O5" s="1"/>
      <c r="P5" s="126" t="s">
        <v>2</v>
      </c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8"/>
      <c r="AB5" s="1"/>
      <c r="AC5" s="1"/>
      <c r="AD5" s="4"/>
    </row>
    <row r="6" spans="1:30" ht="16.5" thickTop="1" x14ac:dyDescent="0.25">
      <c r="A6" s="1"/>
      <c r="B6" s="1"/>
      <c r="C6" s="86" t="s">
        <v>3</v>
      </c>
      <c r="D6" s="87" t="s">
        <v>4</v>
      </c>
      <c r="E6" s="88"/>
      <c r="F6" s="89"/>
      <c r="G6" s="88"/>
      <c r="H6" s="90">
        <v>2</v>
      </c>
      <c r="I6" s="91" t="s">
        <v>5</v>
      </c>
      <c r="J6" s="90">
        <v>0</v>
      </c>
      <c r="K6" s="88"/>
      <c r="L6" s="89"/>
      <c r="M6" s="88"/>
      <c r="N6" s="92" t="s">
        <v>6</v>
      </c>
      <c r="O6" s="1"/>
      <c r="P6" s="114" t="s">
        <v>7</v>
      </c>
      <c r="Q6" s="115" t="s">
        <v>8</v>
      </c>
      <c r="R6" s="116"/>
      <c r="S6" s="117"/>
      <c r="T6" s="116"/>
      <c r="U6" s="118">
        <v>0</v>
      </c>
      <c r="V6" s="119" t="s">
        <v>5</v>
      </c>
      <c r="W6" s="118">
        <v>0</v>
      </c>
      <c r="X6" s="116"/>
      <c r="Y6" s="117"/>
      <c r="Z6" s="116"/>
      <c r="AA6" s="120" t="str">
        <f>IF([1]Repescagem!D4="","Europa 1",[1]Repescagem!D4)</f>
        <v>Bósnia e Herzegovina</v>
      </c>
      <c r="AB6" s="1"/>
      <c r="AC6" s="1"/>
      <c r="AD6" s="4"/>
    </row>
    <row r="7" spans="1:30" ht="15.75" x14ac:dyDescent="0.25">
      <c r="A7" s="1"/>
      <c r="B7" s="1"/>
      <c r="C7" s="16" t="s">
        <v>9</v>
      </c>
      <c r="D7" s="17" t="s">
        <v>10</v>
      </c>
      <c r="E7" s="4"/>
      <c r="F7" s="18"/>
      <c r="G7" s="4"/>
      <c r="H7" s="19">
        <v>0</v>
      </c>
      <c r="I7" s="20" t="s">
        <v>5</v>
      </c>
      <c r="J7" s="19">
        <v>3</v>
      </c>
      <c r="K7" s="4"/>
      <c r="L7" s="18"/>
      <c r="M7" s="4"/>
      <c r="N7" s="21" t="str">
        <f>IF([1]Repescagem!D7="","Europa 4",[1]Repescagem!D7)</f>
        <v>República Tcheca</v>
      </c>
      <c r="O7" s="1"/>
      <c r="P7" s="16" t="s">
        <v>11</v>
      </c>
      <c r="Q7" s="17" t="s">
        <v>12</v>
      </c>
      <c r="R7" s="4"/>
      <c r="S7" s="18"/>
      <c r="T7" s="4"/>
      <c r="U7" s="19">
        <v>0</v>
      </c>
      <c r="V7" s="20" t="s">
        <v>5</v>
      </c>
      <c r="W7" s="19">
        <v>3</v>
      </c>
      <c r="X7" s="4"/>
      <c r="Y7" s="18"/>
      <c r="Z7" s="4"/>
      <c r="AA7" s="21" t="s">
        <v>13</v>
      </c>
      <c r="AB7" s="1"/>
      <c r="AC7" s="1"/>
      <c r="AD7" s="4"/>
    </row>
    <row r="8" spans="1:30" ht="15.75" x14ac:dyDescent="0.25">
      <c r="A8" s="1"/>
      <c r="B8" s="1"/>
      <c r="C8" s="16" t="s">
        <v>14</v>
      </c>
      <c r="D8" s="17" t="str">
        <f>IF([1]Repescagem!D7="","Europa 4",[1]Repescagem!D7)</f>
        <v>República Tcheca</v>
      </c>
      <c r="E8" s="4"/>
      <c r="F8" s="18"/>
      <c r="G8" s="4"/>
      <c r="H8" s="19">
        <v>2</v>
      </c>
      <c r="I8" s="20" t="s">
        <v>5</v>
      </c>
      <c r="J8" s="19">
        <v>0</v>
      </c>
      <c r="K8" s="4"/>
      <c r="L8" s="18"/>
      <c r="M8" s="4"/>
      <c r="N8" s="21" t="s">
        <v>6</v>
      </c>
      <c r="O8" s="1"/>
      <c r="P8" s="16" t="s">
        <v>15</v>
      </c>
      <c r="Q8" s="17" t="s">
        <v>13</v>
      </c>
      <c r="R8" s="4"/>
      <c r="S8" s="18"/>
      <c r="T8" s="4"/>
      <c r="U8" s="19">
        <v>3</v>
      </c>
      <c r="V8" s="20" t="s">
        <v>5</v>
      </c>
      <c r="W8" s="19">
        <v>2</v>
      </c>
      <c r="X8" s="4"/>
      <c r="Y8" s="18"/>
      <c r="Z8" s="4"/>
      <c r="AA8" s="21" t="str">
        <f>IF([1]Repescagem!D4="","Europa 1",[1]Repescagem!D4)</f>
        <v>Bósnia e Herzegovina</v>
      </c>
      <c r="AB8" s="1"/>
      <c r="AC8" s="1"/>
      <c r="AD8" s="4"/>
    </row>
    <row r="9" spans="1:30" ht="15.75" x14ac:dyDescent="0.25">
      <c r="A9" s="1"/>
      <c r="B9" s="1"/>
      <c r="C9" s="107" t="s">
        <v>16</v>
      </c>
      <c r="D9" s="108" t="s">
        <v>4</v>
      </c>
      <c r="E9" s="109"/>
      <c r="F9" s="110"/>
      <c r="G9" s="109"/>
      <c r="H9" s="111">
        <v>3</v>
      </c>
      <c r="I9" s="112" t="s">
        <v>5</v>
      </c>
      <c r="J9" s="111">
        <v>1</v>
      </c>
      <c r="K9" s="109"/>
      <c r="L9" s="110"/>
      <c r="M9" s="109"/>
      <c r="N9" s="113" t="s">
        <v>10</v>
      </c>
      <c r="O9" s="1"/>
      <c r="P9" s="107" t="s">
        <v>17</v>
      </c>
      <c r="Q9" s="108" t="s">
        <v>8</v>
      </c>
      <c r="R9" s="109"/>
      <c r="S9" s="110"/>
      <c r="T9" s="109"/>
      <c r="U9" s="111">
        <v>2</v>
      </c>
      <c r="V9" s="112" t="s">
        <v>5</v>
      </c>
      <c r="W9" s="111">
        <v>2</v>
      </c>
      <c r="X9" s="109"/>
      <c r="Y9" s="110"/>
      <c r="Z9" s="109"/>
      <c r="AA9" s="113" t="s">
        <v>12</v>
      </c>
      <c r="AB9" s="1"/>
      <c r="AC9" s="1"/>
      <c r="AD9" s="4"/>
    </row>
    <row r="10" spans="1:30" ht="15.75" x14ac:dyDescent="0.25">
      <c r="A10" s="1"/>
      <c r="B10" s="1"/>
      <c r="C10" s="107" t="s">
        <v>18</v>
      </c>
      <c r="D10" s="108" t="str">
        <f>IF([1]Repescagem!D7="","Europa 4",[1]Repescagem!D7)</f>
        <v>República Tcheca</v>
      </c>
      <c r="E10" s="109"/>
      <c r="F10" s="110"/>
      <c r="G10" s="109"/>
      <c r="H10" s="111">
        <v>0</v>
      </c>
      <c r="I10" s="112" t="s">
        <v>5</v>
      </c>
      <c r="J10" s="111">
        <v>0</v>
      </c>
      <c r="K10" s="109"/>
      <c r="L10" s="110"/>
      <c r="M10" s="109"/>
      <c r="N10" s="113" t="s">
        <v>4</v>
      </c>
      <c r="O10" s="1"/>
      <c r="P10" s="107" t="s">
        <v>19</v>
      </c>
      <c r="Q10" s="108" t="s">
        <v>13</v>
      </c>
      <c r="R10" s="109"/>
      <c r="S10" s="110"/>
      <c r="T10" s="109"/>
      <c r="U10" s="111">
        <v>4</v>
      </c>
      <c r="V10" s="112" t="s">
        <v>5</v>
      </c>
      <c r="W10" s="111">
        <v>1</v>
      </c>
      <c r="X10" s="109"/>
      <c r="Y10" s="110"/>
      <c r="Z10" s="109"/>
      <c r="AA10" s="113" t="s">
        <v>8</v>
      </c>
      <c r="AB10" s="1"/>
      <c r="AC10" s="1"/>
      <c r="AD10" s="4"/>
    </row>
    <row r="11" spans="1:30" ht="16.5" thickBot="1" x14ac:dyDescent="0.3">
      <c r="A11" s="1"/>
      <c r="B11" s="1"/>
      <c r="C11" s="22" t="s">
        <v>18</v>
      </c>
      <c r="D11" s="23" t="s">
        <v>6</v>
      </c>
      <c r="E11" s="24"/>
      <c r="F11" s="25"/>
      <c r="G11" s="24"/>
      <c r="H11" s="26">
        <v>1</v>
      </c>
      <c r="I11" s="27" t="s">
        <v>5</v>
      </c>
      <c r="J11" s="26">
        <v>3</v>
      </c>
      <c r="K11" s="24"/>
      <c r="L11" s="25"/>
      <c r="M11" s="24"/>
      <c r="N11" s="28" t="s">
        <v>10</v>
      </c>
      <c r="O11" s="1"/>
      <c r="P11" s="22" t="s">
        <v>19</v>
      </c>
      <c r="Q11" s="23" t="str">
        <f>IF([1]Repescagem!D4="","Europa 1",[1]Repescagem!D4)</f>
        <v>Bósnia e Herzegovina</v>
      </c>
      <c r="R11" s="24"/>
      <c r="S11" s="25"/>
      <c r="T11" s="24"/>
      <c r="U11" s="26">
        <v>3</v>
      </c>
      <c r="V11" s="27" t="s">
        <v>5</v>
      </c>
      <c r="W11" s="26">
        <v>1</v>
      </c>
      <c r="X11" s="24"/>
      <c r="Y11" s="25"/>
      <c r="Z11" s="24"/>
      <c r="AA11" s="28" t="s">
        <v>12</v>
      </c>
      <c r="AB11" s="1"/>
      <c r="AC11" s="1"/>
      <c r="AD11" s="4"/>
    </row>
    <row r="12" spans="1:30" ht="16.5" thickBot="1" x14ac:dyDescent="0.3">
      <c r="A12" s="1"/>
      <c r="B12" s="1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1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1"/>
      <c r="AC12" s="1"/>
      <c r="AD12" s="4"/>
    </row>
    <row r="13" spans="1:30" ht="16.5" thickBot="1" x14ac:dyDescent="0.3">
      <c r="A13" s="1"/>
      <c r="B13" s="1"/>
      <c r="C13" s="126" t="s">
        <v>20</v>
      </c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8"/>
      <c r="O13" s="1"/>
      <c r="P13" s="126" t="s">
        <v>21</v>
      </c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8"/>
      <c r="AB13" s="1"/>
      <c r="AC13" s="1"/>
      <c r="AD13" s="4"/>
    </row>
    <row r="14" spans="1:30" ht="16.5" thickTop="1" x14ac:dyDescent="0.25">
      <c r="A14" s="1"/>
      <c r="B14" s="1"/>
      <c r="C14" s="86" t="s">
        <v>22</v>
      </c>
      <c r="D14" s="87" t="s">
        <v>23</v>
      </c>
      <c r="E14" s="88"/>
      <c r="F14" s="89"/>
      <c r="G14" s="88"/>
      <c r="H14" s="90">
        <v>1</v>
      </c>
      <c r="I14" s="91" t="s">
        <v>5</v>
      </c>
      <c r="J14" s="90">
        <v>1</v>
      </c>
      <c r="K14" s="88"/>
      <c r="L14" s="89"/>
      <c r="M14" s="88"/>
      <c r="N14" s="92" t="s">
        <v>24</v>
      </c>
      <c r="O14" s="1"/>
      <c r="P14" s="114" t="s">
        <v>25</v>
      </c>
      <c r="Q14" s="115" t="s">
        <v>26</v>
      </c>
      <c r="R14" s="116"/>
      <c r="S14" s="117"/>
      <c r="T14" s="116"/>
      <c r="U14" s="118">
        <v>2</v>
      </c>
      <c r="V14" s="119" t="s">
        <v>5</v>
      </c>
      <c r="W14" s="118">
        <v>1</v>
      </c>
      <c r="X14" s="116"/>
      <c r="Y14" s="117"/>
      <c r="Z14" s="116"/>
      <c r="AA14" s="120" t="s">
        <v>27</v>
      </c>
      <c r="AB14" s="1"/>
      <c r="AC14" s="1"/>
      <c r="AD14" s="4"/>
    </row>
    <row r="15" spans="1:30" ht="15.75" x14ac:dyDescent="0.25">
      <c r="A15" s="1"/>
      <c r="B15" s="1"/>
      <c r="C15" s="16" t="s">
        <v>28</v>
      </c>
      <c r="D15" s="17" t="s">
        <v>29</v>
      </c>
      <c r="E15" s="4"/>
      <c r="F15" s="18"/>
      <c r="G15" s="4"/>
      <c r="H15" s="19">
        <v>1</v>
      </c>
      <c r="I15" s="20" t="s">
        <v>5</v>
      </c>
      <c r="J15" s="19">
        <v>3</v>
      </c>
      <c r="K15" s="4"/>
      <c r="L15" s="18"/>
      <c r="M15" s="4"/>
      <c r="N15" s="21" t="s">
        <v>30</v>
      </c>
      <c r="O15" s="1"/>
      <c r="P15" s="16" t="s">
        <v>31</v>
      </c>
      <c r="Q15" s="17" t="s">
        <v>32</v>
      </c>
      <c r="R15" s="4"/>
      <c r="S15" s="18"/>
      <c r="T15" s="4"/>
      <c r="U15" s="19">
        <v>0</v>
      </c>
      <c r="V15" s="20" t="s">
        <v>5</v>
      </c>
      <c r="W15" s="19">
        <v>3</v>
      </c>
      <c r="X15" s="4"/>
      <c r="Y15" s="18"/>
      <c r="Z15" s="4"/>
      <c r="AA15" s="21" t="str">
        <f>IF([1]Repescagem!D6="","Europa 3",[1]Repescagem!D6)</f>
        <v>Turquia</v>
      </c>
      <c r="AB15" s="1"/>
      <c r="AC15" s="1"/>
      <c r="AD15" s="4"/>
    </row>
    <row r="16" spans="1:30" ht="15.75" x14ac:dyDescent="0.25">
      <c r="A16" s="1"/>
      <c r="B16" s="1"/>
      <c r="C16" s="16" t="s">
        <v>33</v>
      </c>
      <c r="D16" s="17" t="s">
        <v>30</v>
      </c>
      <c r="E16" s="4"/>
      <c r="F16" s="18"/>
      <c r="G16" s="4"/>
      <c r="H16" s="19">
        <v>0</v>
      </c>
      <c r="I16" s="20" t="s">
        <v>5</v>
      </c>
      <c r="J16" s="19">
        <v>2</v>
      </c>
      <c r="K16" s="4"/>
      <c r="L16" s="18"/>
      <c r="M16" s="4"/>
      <c r="N16" s="21" t="s">
        <v>24</v>
      </c>
      <c r="O16" s="1"/>
      <c r="P16" s="16" t="s">
        <v>34</v>
      </c>
      <c r="Q16" s="17" t="str">
        <f>IF([1]Repescagem!D6="","Europa 3",[1]Repescagem!D6)</f>
        <v>Turquia</v>
      </c>
      <c r="R16" s="4"/>
      <c r="S16" s="18"/>
      <c r="T16" s="4"/>
      <c r="U16" s="19">
        <v>2</v>
      </c>
      <c r="V16" s="20" t="s">
        <v>5</v>
      </c>
      <c r="W16" s="19">
        <v>2</v>
      </c>
      <c r="X16" s="4"/>
      <c r="Y16" s="18"/>
      <c r="Z16" s="4"/>
      <c r="AA16" s="21" t="s">
        <v>27</v>
      </c>
      <c r="AB16" s="1"/>
      <c r="AC16" s="1"/>
      <c r="AD16" s="4"/>
    </row>
    <row r="17" spans="1:30" ht="15.75" x14ac:dyDescent="0.25">
      <c r="A17" s="1"/>
      <c r="B17" s="1"/>
      <c r="C17" s="93" t="s">
        <v>35</v>
      </c>
      <c r="D17" s="94" t="s">
        <v>23</v>
      </c>
      <c r="E17" s="95"/>
      <c r="F17" s="96"/>
      <c r="G17" s="95"/>
      <c r="H17" s="97">
        <v>5</v>
      </c>
      <c r="I17" s="98" t="s">
        <v>5</v>
      </c>
      <c r="J17" s="97">
        <v>0</v>
      </c>
      <c r="K17" s="95"/>
      <c r="L17" s="96"/>
      <c r="M17" s="95"/>
      <c r="N17" s="99" t="s">
        <v>29</v>
      </c>
      <c r="O17" s="1"/>
      <c r="P17" s="107" t="s">
        <v>36</v>
      </c>
      <c r="Q17" s="108" t="s">
        <v>26</v>
      </c>
      <c r="R17" s="109"/>
      <c r="S17" s="110"/>
      <c r="T17" s="109"/>
      <c r="U17" s="111">
        <v>0</v>
      </c>
      <c r="V17" s="112" t="s">
        <v>5</v>
      </c>
      <c r="W17" s="111">
        <v>0</v>
      </c>
      <c r="X17" s="109"/>
      <c r="Y17" s="110"/>
      <c r="Z17" s="109"/>
      <c r="AA17" s="113" t="s">
        <v>32</v>
      </c>
      <c r="AB17" s="1"/>
      <c r="AC17" s="1"/>
      <c r="AD17" s="4"/>
    </row>
    <row r="18" spans="1:30" ht="15.75" x14ac:dyDescent="0.25">
      <c r="A18" s="1"/>
      <c r="B18" s="1"/>
      <c r="C18" s="93" t="s">
        <v>37</v>
      </c>
      <c r="D18" s="94" t="s">
        <v>30</v>
      </c>
      <c r="E18" s="95"/>
      <c r="F18" s="96"/>
      <c r="G18" s="95"/>
      <c r="H18" s="97">
        <v>0</v>
      </c>
      <c r="I18" s="98" t="s">
        <v>5</v>
      </c>
      <c r="J18" s="97">
        <v>2</v>
      </c>
      <c r="K18" s="95"/>
      <c r="L18" s="96"/>
      <c r="M18" s="95"/>
      <c r="N18" s="99" t="s">
        <v>23</v>
      </c>
      <c r="O18" s="1"/>
      <c r="P18" s="107" t="s">
        <v>38</v>
      </c>
      <c r="Q18" s="108" t="str">
        <f>IF([1]Repescagem!D6="","Europa 3",[1]Repescagem!D6)</f>
        <v>Turquia</v>
      </c>
      <c r="R18" s="109"/>
      <c r="S18" s="110"/>
      <c r="T18" s="109"/>
      <c r="U18" s="111">
        <v>4</v>
      </c>
      <c r="V18" s="112" t="s">
        <v>5</v>
      </c>
      <c r="W18" s="111">
        <v>2</v>
      </c>
      <c r="X18" s="109"/>
      <c r="Y18" s="110"/>
      <c r="Z18" s="109"/>
      <c r="AA18" s="113" t="s">
        <v>26</v>
      </c>
      <c r="AB18" s="1"/>
      <c r="AC18" s="1"/>
      <c r="AD18" s="4"/>
    </row>
    <row r="19" spans="1:30" ht="16.5" thickBot="1" x14ac:dyDescent="0.3">
      <c r="A19" s="1"/>
      <c r="B19" s="1"/>
      <c r="C19" s="22" t="s">
        <v>37</v>
      </c>
      <c r="D19" s="23" t="s">
        <v>24</v>
      </c>
      <c r="E19" s="24"/>
      <c r="F19" s="25"/>
      <c r="G19" s="24"/>
      <c r="H19" s="26">
        <v>4</v>
      </c>
      <c r="I19" s="27" t="s">
        <v>5</v>
      </c>
      <c r="J19" s="26">
        <v>0</v>
      </c>
      <c r="K19" s="24"/>
      <c r="L19" s="25"/>
      <c r="M19" s="24"/>
      <c r="N19" s="28" t="s">
        <v>29</v>
      </c>
      <c r="O19" s="1"/>
      <c r="P19" s="22" t="s">
        <v>38</v>
      </c>
      <c r="Q19" s="23" t="s">
        <v>27</v>
      </c>
      <c r="R19" s="24"/>
      <c r="S19" s="25"/>
      <c r="T19" s="24"/>
      <c r="U19" s="26">
        <v>1</v>
      </c>
      <c r="V19" s="27" t="s">
        <v>5</v>
      </c>
      <c r="W19" s="26">
        <v>1</v>
      </c>
      <c r="X19" s="24"/>
      <c r="Y19" s="25"/>
      <c r="Z19" s="24"/>
      <c r="AA19" s="28" t="s">
        <v>32</v>
      </c>
      <c r="AB19" s="1"/>
      <c r="AC19" s="1"/>
      <c r="AD19" s="4"/>
    </row>
    <row r="20" spans="1:30" ht="17.25" thickTop="1" thickBot="1" x14ac:dyDescent="0.3">
      <c r="A20" s="1"/>
      <c r="B20" s="1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1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1"/>
      <c r="AC20" s="1"/>
      <c r="AD20" s="4"/>
    </row>
    <row r="21" spans="1:30" ht="16.5" thickBot="1" x14ac:dyDescent="0.3">
      <c r="A21" s="1"/>
      <c r="B21" s="1"/>
      <c r="C21" s="126" t="s">
        <v>39</v>
      </c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8"/>
      <c r="O21" s="1"/>
      <c r="P21" s="126" t="s">
        <v>40</v>
      </c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8"/>
      <c r="AB21" s="1"/>
      <c r="AC21" s="1"/>
      <c r="AD21" s="4"/>
    </row>
    <row r="22" spans="1:30" ht="16.5" thickTop="1" x14ac:dyDescent="0.25">
      <c r="A22" s="1"/>
      <c r="B22" s="1"/>
      <c r="C22" s="9" t="s">
        <v>41</v>
      </c>
      <c r="D22" s="10" t="s">
        <v>42</v>
      </c>
      <c r="E22" s="11"/>
      <c r="F22" s="12"/>
      <c r="G22" s="11"/>
      <c r="H22" s="13">
        <v>6</v>
      </c>
      <c r="I22" s="14" t="s">
        <v>5</v>
      </c>
      <c r="J22" s="13">
        <v>0</v>
      </c>
      <c r="K22" s="11"/>
      <c r="L22" s="12"/>
      <c r="M22" s="11"/>
      <c r="N22" s="15" t="s">
        <v>43</v>
      </c>
      <c r="O22" s="1"/>
      <c r="P22" s="9" t="s">
        <v>44</v>
      </c>
      <c r="Q22" s="10" t="s">
        <v>45</v>
      </c>
      <c r="R22" s="11"/>
      <c r="S22" s="12"/>
      <c r="T22" s="11"/>
      <c r="U22" s="13">
        <v>1</v>
      </c>
      <c r="V22" s="14" t="s">
        <v>5</v>
      </c>
      <c r="W22" s="13">
        <v>1</v>
      </c>
      <c r="X22" s="11"/>
      <c r="Y22" s="12"/>
      <c r="Z22" s="11"/>
      <c r="AA22" s="15" t="s">
        <v>46</v>
      </c>
      <c r="AB22" s="1"/>
      <c r="AC22" s="1"/>
      <c r="AD22" s="4"/>
    </row>
    <row r="23" spans="1:30" ht="15.75" x14ac:dyDescent="0.25">
      <c r="A23" s="1"/>
      <c r="B23" s="1"/>
      <c r="C23" s="16" t="s">
        <v>47</v>
      </c>
      <c r="D23" s="17" t="s">
        <v>48</v>
      </c>
      <c r="E23" s="4"/>
      <c r="F23" s="18"/>
      <c r="G23" s="4"/>
      <c r="H23" s="19">
        <v>2</v>
      </c>
      <c r="I23" s="20" t="s">
        <v>5</v>
      </c>
      <c r="J23" s="19">
        <v>2</v>
      </c>
      <c r="K23" s="4"/>
      <c r="L23" s="18"/>
      <c r="M23" s="4"/>
      <c r="N23" s="21" t="s">
        <v>49</v>
      </c>
      <c r="O23" s="1"/>
      <c r="P23" s="16" t="s">
        <v>50</v>
      </c>
      <c r="Q23" s="17" t="str">
        <f>IF([1]Repescagem!D5="","Europa 2",[1]Repescagem!D5)</f>
        <v>Suécia</v>
      </c>
      <c r="R23" s="4"/>
      <c r="S23" s="18"/>
      <c r="T23" s="4"/>
      <c r="U23" s="19">
        <v>1</v>
      </c>
      <c r="V23" s="20" t="s">
        <v>5</v>
      </c>
      <c r="W23" s="19">
        <v>0</v>
      </c>
      <c r="X23" s="4"/>
      <c r="Y23" s="18"/>
      <c r="Z23" s="4"/>
      <c r="AA23" s="21" t="s">
        <v>51</v>
      </c>
      <c r="AB23" s="1"/>
      <c r="AC23" s="1"/>
      <c r="AD23" s="4"/>
    </row>
    <row r="24" spans="1:30" ht="15.75" x14ac:dyDescent="0.25">
      <c r="A24" s="1"/>
      <c r="B24" s="1"/>
      <c r="C24" s="16" t="s">
        <v>52</v>
      </c>
      <c r="D24" s="17" t="s">
        <v>42</v>
      </c>
      <c r="E24" s="4"/>
      <c r="F24" s="18"/>
      <c r="G24" s="4"/>
      <c r="H24" s="19">
        <v>3</v>
      </c>
      <c r="I24" s="20" t="s">
        <v>5</v>
      </c>
      <c r="J24" s="19">
        <v>1</v>
      </c>
      <c r="K24" s="4"/>
      <c r="L24" s="18"/>
      <c r="M24" s="4"/>
      <c r="N24" s="21" t="s">
        <v>48</v>
      </c>
      <c r="O24" s="1"/>
      <c r="P24" s="16" t="s">
        <v>53</v>
      </c>
      <c r="Q24" s="17" t="s">
        <v>51</v>
      </c>
      <c r="R24" s="4"/>
      <c r="S24" s="18"/>
      <c r="T24" s="4"/>
      <c r="U24" s="19">
        <v>0</v>
      </c>
      <c r="V24" s="20" t="s">
        <v>5</v>
      </c>
      <c r="W24" s="19">
        <v>3</v>
      </c>
      <c r="X24" s="4"/>
      <c r="Y24" s="18"/>
      <c r="Z24" s="4"/>
      <c r="AA24" s="21" t="s">
        <v>46</v>
      </c>
      <c r="AB24" s="1"/>
      <c r="AC24" s="1"/>
      <c r="AD24" s="4"/>
    </row>
    <row r="25" spans="1:30" ht="15.75" x14ac:dyDescent="0.25">
      <c r="A25" s="1"/>
      <c r="B25" s="1"/>
      <c r="C25" s="16" t="s">
        <v>54</v>
      </c>
      <c r="D25" s="17" t="s">
        <v>49</v>
      </c>
      <c r="E25" s="4"/>
      <c r="F25" s="18"/>
      <c r="G25" s="4"/>
      <c r="H25" s="19">
        <v>4</v>
      </c>
      <c r="I25" s="20" t="s">
        <v>5</v>
      </c>
      <c r="J25" s="19">
        <v>1</v>
      </c>
      <c r="K25" s="4"/>
      <c r="L25" s="18"/>
      <c r="M25" s="4"/>
      <c r="N25" s="21" t="s">
        <v>43</v>
      </c>
      <c r="O25" s="1"/>
      <c r="P25" s="16" t="s">
        <v>55</v>
      </c>
      <c r="Q25" s="17" t="s">
        <v>45</v>
      </c>
      <c r="R25" s="4"/>
      <c r="S25" s="18"/>
      <c r="T25" s="4"/>
      <c r="U25" s="19">
        <v>3</v>
      </c>
      <c r="V25" s="20" t="s">
        <v>5</v>
      </c>
      <c r="W25" s="19">
        <v>2</v>
      </c>
      <c r="X25" s="4"/>
      <c r="Y25" s="18"/>
      <c r="Z25" s="4"/>
      <c r="AA25" s="21" t="str">
        <f>IF([1]Repescagem!D5="","Europa 2",[1]Repescagem!D5)</f>
        <v>Suécia</v>
      </c>
      <c r="AB25" s="1"/>
      <c r="AC25" s="1"/>
      <c r="AD25" s="4"/>
    </row>
    <row r="26" spans="1:30" ht="15.75" x14ac:dyDescent="0.25">
      <c r="A26" s="1"/>
      <c r="B26" s="1"/>
      <c r="C26" s="16" t="s">
        <v>56</v>
      </c>
      <c r="D26" s="17" t="s">
        <v>49</v>
      </c>
      <c r="E26" s="4"/>
      <c r="F26" s="18"/>
      <c r="G26" s="4"/>
      <c r="H26" s="19">
        <v>1</v>
      </c>
      <c r="I26" s="20" t="s">
        <v>5</v>
      </c>
      <c r="J26" s="19">
        <v>1</v>
      </c>
      <c r="K26" s="4"/>
      <c r="L26" s="18"/>
      <c r="M26" s="4"/>
      <c r="N26" s="21" t="s">
        <v>42</v>
      </c>
      <c r="O26" s="1"/>
      <c r="P26" s="16" t="s">
        <v>57</v>
      </c>
      <c r="Q26" s="17" t="s">
        <v>46</v>
      </c>
      <c r="R26" s="4"/>
      <c r="S26" s="18"/>
      <c r="T26" s="4"/>
      <c r="U26" s="19">
        <v>2</v>
      </c>
      <c r="V26" s="20" t="s">
        <v>5</v>
      </c>
      <c r="W26" s="19">
        <v>2</v>
      </c>
      <c r="X26" s="4"/>
      <c r="Y26" s="18"/>
      <c r="Z26" s="4"/>
      <c r="AA26" s="21" t="str">
        <f>IF([1]Repescagem!D5="","Europa 2",[1]Repescagem!D5)</f>
        <v>Suécia</v>
      </c>
      <c r="AB26" s="1"/>
      <c r="AC26" s="1"/>
      <c r="AD26" s="4"/>
    </row>
    <row r="27" spans="1:30" ht="16.5" thickBot="1" x14ac:dyDescent="0.3">
      <c r="A27" s="1"/>
      <c r="B27" s="1"/>
      <c r="C27" s="22" t="s">
        <v>56</v>
      </c>
      <c r="D27" s="23" t="s">
        <v>43</v>
      </c>
      <c r="E27" s="24"/>
      <c r="F27" s="25"/>
      <c r="G27" s="24"/>
      <c r="H27" s="26">
        <v>0</v>
      </c>
      <c r="I27" s="27" t="s">
        <v>5</v>
      </c>
      <c r="J27" s="26">
        <v>3</v>
      </c>
      <c r="K27" s="24"/>
      <c r="L27" s="25"/>
      <c r="M27" s="24"/>
      <c r="N27" s="28" t="s">
        <v>48</v>
      </c>
      <c r="O27" s="1"/>
      <c r="P27" s="22" t="s">
        <v>57</v>
      </c>
      <c r="Q27" s="23" t="s">
        <v>51</v>
      </c>
      <c r="R27" s="24"/>
      <c r="S27" s="25"/>
      <c r="T27" s="24"/>
      <c r="U27" s="26">
        <v>1</v>
      </c>
      <c r="V27" s="27" t="s">
        <v>5</v>
      </c>
      <c r="W27" s="26">
        <v>3</v>
      </c>
      <c r="X27" s="24"/>
      <c r="Y27" s="25"/>
      <c r="Z27" s="24"/>
      <c r="AA27" s="28" t="s">
        <v>45</v>
      </c>
      <c r="AB27" s="1"/>
      <c r="AC27" s="1"/>
      <c r="AD27" s="4"/>
    </row>
    <row r="28" spans="1:30" ht="17.25" thickTop="1" thickBot="1" x14ac:dyDescent="0.3">
      <c r="A28" s="1"/>
      <c r="B28" s="1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1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1"/>
      <c r="AC28" s="1"/>
      <c r="AD28" s="4"/>
    </row>
    <row r="29" spans="1:30" ht="16.5" thickBot="1" x14ac:dyDescent="0.3">
      <c r="A29" s="1"/>
      <c r="B29" s="1"/>
      <c r="C29" s="126" t="s">
        <v>58</v>
      </c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8"/>
      <c r="O29" s="1"/>
      <c r="P29" s="126" t="s">
        <v>59</v>
      </c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8"/>
      <c r="AB29" s="1"/>
      <c r="AC29" s="1"/>
      <c r="AD29" s="4"/>
    </row>
    <row r="30" spans="1:30" ht="16.5" thickTop="1" x14ac:dyDescent="0.25">
      <c r="A30" s="1"/>
      <c r="B30" s="1"/>
      <c r="C30" s="9" t="s">
        <v>60</v>
      </c>
      <c r="D30" s="10" t="s">
        <v>61</v>
      </c>
      <c r="E30" s="11"/>
      <c r="F30" s="12"/>
      <c r="G30" s="11"/>
      <c r="H30" s="13">
        <v>2</v>
      </c>
      <c r="I30" s="14" t="s">
        <v>5</v>
      </c>
      <c r="J30" s="13">
        <v>0</v>
      </c>
      <c r="K30" s="11"/>
      <c r="L30" s="12"/>
      <c r="M30" s="11"/>
      <c r="N30" s="15" t="s">
        <v>62</v>
      </c>
      <c r="O30" s="1"/>
      <c r="P30" s="9" t="s">
        <v>63</v>
      </c>
      <c r="Q30" s="10" t="s">
        <v>64</v>
      </c>
      <c r="R30" s="11"/>
      <c r="S30" s="12"/>
      <c r="T30" s="11"/>
      <c r="U30" s="13">
        <v>4</v>
      </c>
      <c r="V30" s="14" t="s">
        <v>5</v>
      </c>
      <c r="W30" s="13">
        <v>0</v>
      </c>
      <c r="X30" s="11"/>
      <c r="Y30" s="12"/>
      <c r="Z30" s="11"/>
      <c r="AA30" s="15" t="s">
        <v>65</v>
      </c>
      <c r="AB30" s="1"/>
      <c r="AC30" s="1"/>
      <c r="AD30" s="4"/>
    </row>
    <row r="31" spans="1:30" ht="15.75" x14ac:dyDescent="0.25">
      <c r="A31" s="1"/>
      <c r="B31" s="1"/>
      <c r="C31" s="16" t="s">
        <v>66</v>
      </c>
      <c r="D31" s="17" t="s">
        <v>67</v>
      </c>
      <c r="E31" s="4"/>
      <c r="F31" s="18"/>
      <c r="G31" s="4"/>
      <c r="H31" s="19">
        <v>2</v>
      </c>
      <c r="I31" s="20" t="s">
        <v>5</v>
      </c>
      <c r="J31" s="19">
        <v>0</v>
      </c>
      <c r="K31" s="4"/>
      <c r="L31" s="18"/>
      <c r="M31" s="4"/>
      <c r="N31" s="21" t="s">
        <v>68</v>
      </c>
      <c r="O31" s="1"/>
      <c r="P31" s="16" t="s">
        <v>69</v>
      </c>
      <c r="Q31" s="17" t="s">
        <v>70</v>
      </c>
      <c r="R31" s="4"/>
      <c r="S31" s="18"/>
      <c r="T31" s="4"/>
      <c r="U31" s="19">
        <v>0</v>
      </c>
      <c r="V31" s="20" t="s">
        <v>5</v>
      </c>
      <c r="W31" s="19">
        <v>2</v>
      </c>
      <c r="X31" s="4"/>
      <c r="Y31" s="18"/>
      <c r="Z31" s="4"/>
      <c r="AA31" s="21" t="s">
        <v>71</v>
      </c>
      <c r="AB31" s="1"/>
      <c r="AC31" s="1"/>
      <c r="AD31" s="4"/>
    </row>
    <row r="32" spans="1:30" ht="15.75" x14ac:dyDescent="0.25">
      <c r="A32" s="1"/>
      <c r="B32" s="1"/>
      <c r="C32" s="16" t="s">
        <v>72</v>
      </c>
      <c r="D32" s="17" t="s">
        <v>61</v>
      </c>
      <c r="E32" s="4"/>
      <c r="F32" s="18"/>
      <c r="G32" s="4"/>
      <c r="H32" s="19">
        <v>3</v>
      </c>
      <c r="I32" s="20" t="s">
        <v>5</v>
      </c>
      <c r="J32" s="19">
        <v>1</v>
      </c>
      <c r="K32" s="4"/>
      <c r="L32" s="18"/>
      <c r="M32" s="4"/>
      <c r="N32" s="21" t="s">
        <v>67</v>
      </c>
      <c r="O32" s="1"/>
      <c r="P32" s="16" t="s">
        <v>73</v>
      </c>
      <c r="Q32" s="17" t="s">
        <v>64</v>
      </c>
      <c r="R32" s="4"/>
      <c r="S32" s="18"/>
      <c r="T32" s="4"/>
      <c r="U32" s="19">
        <v>5</v>
      </c>
      <c r="V32" s="20" t="s">
        <v>5</v>
      </c>
      <c r="W32" s="19">
        <v>0</v>
      </c>
      <c r="X32" s="4"/>
      <c r="Y32" s="18"/>
      <c r="Z32" s="4"/>
      <c r="AA32" s="21" t="s">
        <v>70</v>
      </c>
      <c r="AB32" s="1"/>
      <c r="AC32" s="1"/>
      <c r="AD32" s="4"/>
    </row>
    <row r="33" spans="1:30" ht="15.75" x14ac:dyDescent="0.25">
      <c r="A33" s="1"/>
      <c r="B33" s="1"/>
      <c r="C33" s="16" t="s">
        <v>74</v>
      </c>
      <c r="D33" s="17" t="s">
        <v>68</v>
      </c>
      <c r="E33" s="4"/>
      <c r="F33" s="18"/>
      <c r="G33" s="4"/>
      <c r="H33" s="19">
        <v>1</v>
      </c>
      <c r="I33" s="20" t="s">
        <v>5</v>
      </c>
      <c r="J33" s="19">
        <v>3</v>
      </c>
      <c r="K33" s="4"/>
      <c r="L33" s="18"/>
      <c r="M33" s="4"/>
      <c r="N33" s="21" t="s">
        <v>62</v>
      </c>
      <c r="O33" s="1"/>
      <c r="P33" s="16" t="s">
        <v>75</v>
      </c>
      <c r="Q33" s="17" t="s">
        <v>71</v>
      </c>
      <c r="R33" s="4"/>
      <c r="S33" s="18"/>
      <c r="T33" s="4"/>
      <c r="U33" s="19">
        <v>3</v>
      </c>
      <c r="V33" s="20" t="s">
        <v>5</v>
      </c>
      <c r="W33" s="19">
        <v>1</v>
      </c>
      <c r="X33" s="4"/>
      <c r="Y33" s="18"/>
      <c r="Z33" s="4"/>
      <c r="AA33" s="21" t="s">
        <v>65</v>
      </c>
      <c r="AB33" s="1"/>
      <c r="AC33" s="1"/>
      <c r="AD33" s="4"/>
    </row>
    <row r="34" spans="1:30" ht="15.75" x14ac:dyDescent="0.25">
      <c r="A34" s="1"/>
      <c r="B34" s="1"/>
      <c r="C34" s="16" t="s">
        <v>76</v>
      </c>
      <c r="D34" s="17" t="s">
        <v>62</v>
      </c>
      <c r="E34" s="4"/>
      <c r="F34" s="18"/>
      <c r="G34" s="4"/>
      <c r="H34" s="19">
        <v>2</v>
      </c>
      <c r="I34" s="20" t="s">
        <v>5</v>
      </c>
      <c r="J34" s="19">
        <v>0</v>
      </c>
      <c r="K34" s="4"/>
      <c r="L34" s="18"/>
      <c r="M34" s="4"/>
      <c r="N34" s="21" t="s">
        <v>67</v>
      </c>
      <c r="O34" s="1"/>
      <c r="P34" s="16" t="s">
        <v>77</v>
      </c>
      <c r="Q34" s="17" t="s">
        <v>65</v>
      </c>
      <c r="R34" s="4"/>
      <c r="S34" s="18"/>
      <c r="T34" s="4"/>
      <c r="U34" s="19">
        <v>1</v>
      </c>
      <c r="V34" s="20" t="s">
        <v>5</v>
      </c>
      <c r="W34" s="19">
        <v>1</v>
      </c>
      <c r="X34" s="4"/>
      <c r="Y34" s="18"/>
      <c r="Z34" s="4"/>
      <c r="AA34" s="21" t="s">
        <v>70</v>
      </c>
      <c r="AB34" s="1"/>
      <c r="AC34" s="1"/>
      <c r="AD34" s="4"/>
    </row>
    <row r="35" spans="1:30" ht="16.5" thickBot="1" x14ac:dyDescent="0.3">
      <c r="A35" s="1"/>
      <c r="B35" s="1"/>
      <c r="C35" s="22" t="s">
        <v>76</v>
      </c>
      <c r="D35" s="23" t="s">
        <v>68</v>
      </c>
      <c r="E35" s="24"/>
      <c r="F35" s="25"/>
      <c r="G35" s="24"/>
      <c r="H35" s="26">
        <v>0</v>
      </c>
      <c r="I35" s="27" t="s">
        <v>5</v>
      </c>
      <c r="J35" s="26">
        <v>2</v>
      </c>
      <c r="K35" s="24"/>
      <c r="L35" s="25"/>
      <c r="M35" s="24"/>
      <c r="N35" s="28" t="s">
        <v>61</v>
      </c>
      <c r="O35" s="1"/>
      <c r="P35" s="22" t="s">
        <v>77</v>
      </c>
      <c r="Q35" s="23" t="s">
        <v>71</v>
      </c>
      <c r="R35" s="24"/>
      <c r="S35" s="25"/>
      <c r="T35" s="24"/>
      <c r="U35" s="26">
        <v>2</v>
      </c>
      <c r="V35" s="27" t="s">
        <v>5</v>
      </c>
      <c r="W35" s="26">
        <v>2</v>
      </c>
      <c r="X35" s="24"/>
      <c r="Y35" s="25"/>
      <c r="Z35" s="24"/>
      <c r="AA35" s="28" t="s">
        <v>64</v>
      </c>
      <c r="AB35" s="1"/>
      <c r="AC35" s="1"/>
      <c r="AD35" s="4"/>
    </row>
    <row r="36" spans="1:30" ht="17.25" thickTop="1" thickBot="1" x14ac:dyDescent="0.3">
      <c r="A36" s="1"/>
      <c r="B36" s="1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1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1"/>
      <c r="AC36" s="1"/>
      <c r="AD36" s="4"/>
    </row>
    <row r="37" spans="1:30" ht="16.5" thickBot="1" x14ac:dyDescent="0.3">
      <c r="A37" s="1"/>
      <c r="B37" s="1"/>
      <c r="C37" s="126" t="s">
        <v>78</v>
      </c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8"/>
      <c r="O37" s="1"/>
      <c r="P37" s="126" t="s">
        <v>79</v>
      </c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8"/>
      <c r="AB37" s="1"/>
      <c r="AC37" s="1"/>
      <c r="AD37" s="4"/>
    </row>
    <row r="38" spans="1:30" ht="16.5" thickTop="1" x14ac:dyDescent="0.25">
      <c r="A38" s="1"/>
      <c r="B38" s="1"/>
      <c r="C38" s="9" t="s">
        <v>80</v>
      </c>
      <c r="D38" s="10" t="s">
        <v>81</v>
      </c>
      <c r="E38" s="11"/>
      <c r="F38" s="12"/>
      <c r="G38" s="11"/>
      <c r="H38" s="13">
        <v>3</v>
      </c>
      <c r="I38" s="14" t="s">
        <v>5</v>
      </c>
      <c r="J38" s="13">
        <v>1</v>
      </c>
      <c r="K38" s="11"/>
      <c r="L38" s="12"/>
      <c r="M38" s="11"/>
      <c r="N38" s="15" t="s">
        <v>82</v>
      </c>
      <c r="O38" s="1"/>
      <c r="P38" s="9" t="s">
        <v>83</v>
      </c>
      <c r="Q38" s="10" t="s">
        <v>84</v>
      </c>
      <c r="R38" s="11"/>
      <c r="S38" s="12"/>
      <c r="T38" s="11"/>
      <c r="U38" s="13">
        <v>3</v>
      </c>
      <c r="V38" s="14" t="s">
        <v>5</v>
      </c>
      <c r="W38" s="13">
        <v>0</v>
      </c>
      <c r="X38" s="11"/>
      <c r="Y38" s="12"/>
      <c r="Z38" s="11"/>
      <c r="AA38" s="15" t="s">
        <v>85</v>
      </c>
      <c r="AB38" s="1"/>
      <c r="AC38" s="1"/>
      <c r="AD38" s="4"/>
    </row>
    <row r="39" spans="1:30" ht="15.75" x14ac:dyDescent="0.25">
      <c r="A39" s="1"/>
      <c r="B39" s="1"/>
      <c r="C39" s="16" t="s">
        <v>86</v>
      </c>
      <c r="D39" s="17" t="str">
        <f>IF([1]Repescagem!D9="","Intercontinental 2",[1]Repescagem!D9)</f>
        <v>Iraque</v>
      </c>
      <c r="E39" s="4"/>
      <c r="F39" s="18"/>
      <c r="G39" s="4"/>
      <c r="H39" s="19">
        <v>0</v>
      </c>
      <c r="I39" s="20" t="s">
        <v>5</v>
      </c>
      <c r="J39" s="19">
        <v>4</v>
      </c>
      <c r="K39" s="4"/>
      <c r="L39" s="18"/>
      <c r="M39" s="4"/>
      <c r="N39" s="21" t="s">
        <v>87</v>
      </c>
      <c r="O39" s="1"/>
      <c r="P39" s="93" t="s">
        <v>88</v>
      </c>
      <c r="Q39" s="94" t="s">
        <v>89</v>
      </c>
      <c r="R39" s="95"/>
      <c r="S39" s="96"/>
      <c r="T39" s="95"/>
      <c r="U39" s="97">
        <v>3</v>
      </c>
      <c r="V39" s="98" t="s">
        <v>5</v>
      </c>
      <c r="W39" s="97">
        <v>1</v>
      </c>
      <c r="X39" s="95"/>
      <c r="Y39" s="96"/>
      <c r="Z39" s="95"/>
      <c r="AA39" s="99" t="s">
        <v>90</v>
      </c>
      <c r="AB39" s="1"/>
      <c r="AC39" s="1"/>
      <c r="AD39" s="4"/>
    </row>
    <row r="40" spans="1:30" ht="15.75" x14ac:dyDescent="0.25">
      <c r="A40" s="1"/>
      <c r="B40" s="1"/>
      <c r="C40" s="16" t="s">
        <v>91</v>
      </c>
      <c r="D40" s="17" t="s">
        <v>81</v>
      </c>
      <c r="E40" s="4"/>
      <c r="F40" s="18"/>
      <c r="G40" s="4"/>
      <c r="H40" s="19">
        <v>4</v>
      </c>
      <c r="I40" s="20" t="s">
        <v>5</v>
      </c>
      <c r="J40" s="19">
        <v>0</v>
      </c>
      <c r="K40" s="4"/>
      <c r="L40" s="18"/>
      <c r="M40" s="4"/>
      <c r="N40" s="21" t="str">
        <f>IF([1]Repescagem!D9="","Intercontinental 2",[1]Repescagem!D9)</f>
        <v>Iraque</v>
      </c>
      <c r="O40" s="1"/>
      <c r="P40" s="93" t="s">
        <v>92</v>
      </c>
      <c r="Q40" s="94" t="s">
        <v>89</v>
      </c>
      <c r="R40" s="95"/>
      <c r="S40" s="96"/>
      <c r="T40" s="95"/>
      <c r="U40" s="97">
        <v>2</v>
      </c>
      <c r="V40" s="98" t="s">
        <v>5</v>
      </c>
      <c r="W40" s="97">
        <v>0</v>
      </c>
      <c r="X40" s="95"/>
      <c r="Y40" s="96"/>
      <c r="Z40" s="95"/>
      <c r="AA40" s="99" t="s">
        <v>84</v>
      </c>
      <c r="AB40" s="1"/>
      <c r="AC40" s="1"/>
      <c r="AD40" s="4"/>
    </row>
    <row r="41" spans="1:30" ht="15.75" x14ac:dyDescent="0.25">
      <c r="A41" s="1"/>
      <c r="B41" s="1"/>
      <c r="C41" s="16" t="s">
        <v>93</v>
      </c>
      <c r="D41" s="17" t="s">
        <v>87</v>
      </c>
      <c r="E41" s="4"/>
      <c r="F41" s="18"/>
      <c r="G41" s="4"/>
      <c r="H41" s="19">
        <v>3</v>
      </c>
      <c r="I41" s="20" t="s">
        <v>5</v>
      </c>
      <c r="J41" s="19">
        <v>2</v>
      </c>
      <c r="K41" s="4"/>
      <c r="L41" s="18"/>
      <c r="M41" s="4"/>
      <c r="N41" s="21" t="s">
        <v>82</v>
      </c>
      <c r="O41" s="1"/>
      <c r="P41" s="16" t="s">
        <v>94</v>
      </c>
      <c r="Q41" s="17" t="s">
        <v>85</v>
      </c>
      <c r="R41" s="4"/>
      <c r="S41" s="18"/>
      <c r="T41" s="4"/>
      <c r="U41" s="19">
        <v>0</v>
      </c>
      <c r="V41" s="20" t="s">
        <v>5</v>
      </c>
      <c r="W41" s="19">
        <v>2</v>
      </c>
      <c r="X41" s="4"/>
      <c r="Y41" s="18"/>
      <c r="Z41" s="4"/>
      <c r="AA41" s="21" t="s">
        <v>90</v>
      </c>
      <c r="AB41" s="1"/>
      <c r="AC41" s="1"/>
      <c r="AD41" s="4"/>
    </row>
    <row r="42" spans="1:30" ht="15.75" x14ac:dyDescent="0.25">
      <c r="A42" s="1"/>
      <c r="B42" s="1"/>
      <c r="C42" s="16" t="s">
        <v>95</v>
      </c>
      <c r="D42" s="17" t="s">
        <v>87</v>
      </c>
      <c r="E42" s="4"/>
      <c r="F42" s="18"/>
      <c r="G42" s="4"/>
      <c r="H42" s="19">
        <v>1</v>
      </c>
      <c r="I42" s="20" t="s">
        <v>5</v>
      </c>
      <c r="J42" s="19">
        <v>1</v>
      </c>
      <c r="K42" s="4"/>
      <c r="L42" s="18"/>
      <c r="M42" s="4"/>
      <c r="N42" s="21" t="s">
        <v>81</v>
      </c>
      <c r="O42" s="1"/>
      <c r="P42" s="16" t="s">
        <v>96</v>
      </c>
      <c r="Q42" s="17" t="s">
        <v>90</v>
      </c>
      <c r="R42" s="4"/>
      <c r="S42" s="18"/>
      <c r="T42" s="4"/>
      <c r="U42" s="19">
        <v>2</v>
      </c>
      <c r="V42" s="20" t="s">
        <v>5</v>
      </c>
      <c r="W42" s="19">
        <v>0</v>
      </c>
      <c r="X42" s="4"/>
      <c r="Y42" s="18"/>
      <c r="Z42" s="4"/>
      <c r="AA42" s="21" t="s">
        <v>84</v>
      </c>
      <c r="AB42" s="1"/>
      <c r="AC42" s="1"/>
      <c r="AD42" s="4"/>
    </row>
    <row r="43" spans="1:30" ht="16.5" thickBot="1" x14ac:dyDescent="0.3">
      <c r="A43" s="1"/>
      <c r="B43" s="1"/>
      <c r="C43" s="22" t="s">
        <v>95</v>
      </c>
      <c r="D43" s="23" t="s">
        <v>82</v>
      </c>
      <c r="E43" s="24"/>
      <c r="F43" s="25"/>
      <c r="G43" s="24"/>
      <c r="H43" s="26">
        <v>2</v>
      </c>
      <c r="I43" s="27" t="s">
        <v>5</v>
      </c>
      <c r="J43" s="26">
        <v>0</v>
      </c>
      <c r="K43" s="24"/>
      <c r="L43" s="25"/>
      <c r="M43" s="24"/>
      <c r="N43" s="28" t="str">
        <f>IF([1]Repescagem!D9="","Intercontinental 2",[1]Repescagem!D9)</f>
        <v>Iraque</v>
      </c>
      <c r="O43" s="1"/>
      <c r="P43" s="100" t="s">
        <v>96</v>
      </c>
      <c r="Q43" s="101" t="s">
        <v>85</v>
      </c>
      <c r="R43" s="102"/>
      <c r="S43" s="103"/>
      <c r="T43" s="102"/>
      <c r="U43" s="104">
        <v>0</v>
      </c>
      <c r="V43" s="105" t="s">
        <v>5</v>
      </c>
      <c r="W43" s="104">
        <v>3</v>
      </c>
      <c r="X43" s="102"/>
      <c r="Y43" s="103"/>
      <c r="Z43" s="102"/>
      <c r="AA43" s="106" t="s">
        <v>89</v>
      </c>
      <c r="AB43" s="1"/>
      <c r="AC43" s="1"/>
      <c r="AD43" s="4"/>
    </row>
    <row r="44" spans="1:30" ht="17.25" thickTop="1" thickBot="1" x14ac:dyDescent="0.3">
      <c r="A44" s="1"/>
      <c r="B44" s="1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1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1"/>
      <c r="AC44" s="1"/>
      <c r="AD44" s="4"/>
    </row>
    <row r="45" spans="1:30" ht="16.5" thickBot="1" x14ac:dyDescent="0.3">
      <c r="A45" s="1"/>
      <c r="B45" s="1"/>
      <c r="C45" s="126" t="s">
        <v>97</v>
      </c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8"/>
      <c r="O45" s="1"/>
      <c r="P45" s="126" t="s">
        <v>98</v>
      </c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8"/>
      <c r="AB45" s="1"/>
      <c r="AC45" s="1"/>
      <c r="AD45" s="4"/>
    </row>
    <row r="46" spans="1:30" ht="16.5" thickTop="1" x14ac:dyDescent="0.25">
      <c r="A46" s="1"/>
      <c r="B46" s="1"/>
      <c r="C46" s="9" t="s">
        <v>99</v>
      </c>
      <c r="D46" s="10" t="s">
        <v>100</v>
      </c>
      <c r="E46" s="11"/>
      <c r="F46" s="12"/>
      <c r="G46" s="11"/>
      <c r="H46" s="13">
        <v>3</v>
      </c>
      <c r="I46" s="14" t="s">
        <v>5</v>
      </c>
      <c r="J46" s="13">
        <v>0</v>
      </c>
      <c r="K46" s="11"/>
      <c r="L46" s="12"/>
      <c r="M46" s="11"/>
      <c r="N46" s="15" t="str">
        <f>IF([1]Repescagem!D8="","Intercontinental 1",[1]Repescagem!D8)</f>
        <v>RD do Congo</v>
      </c>
      <c r="O46" s="1"/>
      <c r="P46" s="9" t="s">
        <v>101</v>
      </c>
      <c r="Q46" s="10" t="s">
        <v>102</v>
      </c>
      <c r="R46" s="11"/>
      <c r="S46" s="12"/>
      <c r="T46" s="11"/>
      <c r="U46" s="13">
        <v>1</v>
      </c>
      <c r="V46" s="14" t="s">
        <v>5</v>
      </c>
      <c r="W46" s="13">
        <v>1</v>
      </c>
      <c r="X46" s="11"/>
      <c r="Y46" s="12"/>
      <c r="Z46" s="11"/>
      <c r="AA46" s="15" t="s">
        <v>103</v>
      </c>
      <c r="AB46" s="1"/>
      <c r="AC46" s="1"/>
      <c r="AD46" s="4"/>
    </row>
    <row r="47" spans="1:30" ht="15.75" x14ac:dyDescent="0.25">
      <c r="A47" s="1"/>
      <c r="B47" s="1"/>
      <c r="C47" s="16" t="s">
        <v>104</v>
      </c>
      <c r="D47" s="17" t="s">
        <v>105</v>
      </c>
      <c r="E47" s="4"/>
      <c r="F47" s="18"/>
      <c r="G47" s="4"/>
      <c r="H47" s="19">
        <v>0</v>
      </c>
      <c r="I47" s="20" t="s">
        <v>5</v>
      </c>
      <c r="J47" s="19">
        <v>4</v>
      </c>
      <c r="K47" s="4"/>
      <c r="L47" s="18"/>
      <c r="M47" s="4"/>
      <c r="N47" s="21" t="s">
        <v>106</v>
      </c>
      <c r="O47" s="1"/>
      <c r="P47" s="16" t="s">
        <v>107</v>
      </c>
      <c r="Q47" s="17" t="s">
        <v>108</v>
      </c>
      <c r="R47" s="4"/>
      <c r="S47" s="18"/>
      <c r="T47" s="4"/>
      <c r="U47" s="19">
        <v>2</v>
      </c>
      <c r="V47" s="20" t="s">
        <v>5</v>
      </c>
      <c r="W47" s="19">
        <v>0</v>
      </c>
      <c r="X47" s="4"/>
      <c r="Y47" s="18"/>
      <c r="Z47" s="4"/>
      <c r="AA47" s="21" t="s">
        <v>109</v>
      </c>
      <c r="AB47" s="1"/>
      <c r="AC47" s="1"/>
      <c r="AD47" s="4"/>
    </row>
    <row r="48" spans="1:30" ht="15.75" x14ac:dyDescent="0.25">
      <c r="A48" s="1"/>
      <c r="B48" s="1"/>
      <c r="C48" s="16" t="s">
        <v>110</v>
      </c>
      <c r="D48" s="17" t="s">
        <v>100</v>
      </c>
      <c r="E48" s="4"/>
      <c r="F48" s="18"/>
      <c r="G48" s="4"/>
      <c r="H48" s="19">
        <v>4</v>
      </c>
      <c r="I48" s="20" t="s">
        <v>5</v>
      </c>
      <c r="J48" s="19">
        <v>0</v>
      </c>
      <c r="K48" s="4"/>
      <c r="L48" s="18"/>
      <c r="M48" s="4"/>
      <c r="N48" s="21" t="s">
        <v>105</v>
      </c>
      <c r="O48" s="1"/>
      <c r="P48" s="16" t="s">
        <v>111</v>
      </c>
      <c r="Q48" s="17" t="s">
        <v>102</v>
      </c>
      <c r="R48" s="4"/>
      <c r="S48" s="18"/>
      <c r="T48" s="4"/>
      <c r="U48" s="19">
        <v>3</v>
      </c>
      <c r="V48" s="20" t="s">
        <v>5</v>
      </c>
      <c r="W48" s="19">
        <v>2</v>
      </c>
      <c r="X48" s="4"/>
      <c r="Y48" s="18"/>
      <c r="Z48" s="4"/>
      <c r="AA48" s="21" t="s">
        <v>108</v>
      </c>
      <c r="AB48" s="1"/>
      <c r="AC48" s="1"/>
      <c r="AD48" s="4"/>
    </row>
    <row r="49" spans="1:30" ht="15.75" x14ac:dyDescent="0.25">
      <c r="A49" s="1"/>
      <c r="B49" s="1"/>
      <c r="C49" s="16" t="s">
        <v>112</v>
      </c>
      <c r="D49" s="17" t="s">
        <v>106</v>
      </c>
      <c r="E49" s="4"/>
      <c r="F49" s="18"/>
      <c r="G49" s="4"/>
      <c r="H49" s="19">
        <v>2</v>
      </c>
      <c r="I49" s="20" t="s">
        <v>5</v>
      </c>
      <c r="J49" s="19">
        <v>0</v>
      </c>
      <c r="K49" s="4"/>
      <c r="L49" s="18"/>
      <c r="M49" s="4"/>
      <c r="N49" s="21" t="str">
        <f>IF([1]Repescagem!D8="","Intercontinental 1",[1]Repescagem!D8)</f>
        <v>RD do Congo</v>
      </c>
      <c r="O49" s="1"/>
      <c r="P49" s="16" t="s">
        <v>113</v>
      </c>
      <c r="Q49" s="17" t="s">
        <v>109</v>
      </c>
      <c r="R49" s="4"/>
      <c r="S49" s="18"/>
      <c r="T49" s="4"/>
      <c r="U49" s="19">
        <v>0</v>
      </c>
      <c r="V49" s="20" t="s">
        <v>5</v>
      </c>
      <c r="W49" s="19">
        <v>3</v>
      </c>
      <c r="X49" s="4"/>
      <c r="Y49" s="18"/>
      <c r="Z49" s="4"/>
      <c r="AA49" s="21" t="s">
        <v>103</v>
      </c>
      <c r="AB49" s="1"/>
      <c r="AC49" s="1"/>
      <c r="AD49" s="4"/>
    </row>
    <row r="50" spans="1:30" ht="15.75" x14ac:dyDescent="0.25">
      <c r="A50" s="1"/>
      <c r="B50" s="1"/>
      <c r="C50" s="16" t="s">
        <v>114</v>
      </c>
      <c r="D50" s="17" t="s">
        <v>106</v>
      </c>
      <c r="E50" s="4"/>
      <c r="F50" s="18"/>
      <c r="G50" s="4"/>
      <c r="H50" s="19">
        <v>0</v>
      </c>
      <c r="I50" s="20" t="s">
        <v>5</v>
      </c>
      <c r="J50" s="19">
        <v>0</v>
      </c>
      <c r="K50" s="4"/>
      <c r="L50" s="18"/>
      <c r="M50" s="4"/>
      <c r="N50" s="21" t="s">
        <v>100</v>
      </c>
      <c r="O50" s="1"/>
      <c r="P50" s="16" t="s">
        <v>115</v>
      </c>
      <c r="Q50" s="17" t="s">
        <v>109</v>
      </c>
      <c r="R50" s="4"/>
      <c r="S50" s="18"/>
      <c r="T50" s="4"/>
      <c r="U50" s="19">
        <v>0</v>
      </c>
      <c r="V50" s="20" t="s">
        <v>5</v>
      </c>
      <c r="W50" s="19">
        <v>5</v>
      </c>
      <c r="X50" s="4"/>
      <c r="Y50" s="18"/>
      <c r="Z50" s="4"/>
      <c r="AA50" s="21" t="s">
        <v>102</v>
      </c>
      <c r="AB50" s="1"/>
      <c r="AC50" s="1"/>
      <c r="AD50" s="4"/>
    </row>
    <row r="51" spans="1:30" ht="16.5" thickBot="1" x14ac:dyDescent="0.3">
      <c r="A51" s="1"/>
      <c r="B51" s="1"/>
      <c r="C51" s="22" t="s">
        <v>114</v>
      </c>
      <c r="D51" s="23" t="str">
        <f>IF([1]Repescagem!D8="","Intercontinental 1",[1]Repescagem!D8)</f>
        <v>RD do Congo</v>
      </c>
      <c r="E51" s="24"/>
      <c r="F51" s="25"/>
      <c r="G51" s="24"/>
      <c r="H51" s="26">
        <v>2</v>
      </c>
      <c r="I51" s="27" t="s">
        <v>5</v>
      </c>
      <c r="J51" s="26">
        <v>2</v>
      </c>
      <c r="K51" s="24"/>
      <c r="L51" s="25"/>
      <c r="M51" s="24"/>
      <c r="N51" s="28" t="s">
        <v>105</v>
      </c>
      <c r="O51" s="1"/>
      <c r="P51" s="22" t="s">
        <v>115</v>
      </c>
      <c r="Q51" s="23" t="s">
        <v>103</v>
      </c>
      <c r="R51" s="24"/>
      <c r="S51" s="25"/>
      <c r="T51" s="24"/>
      <c r="U51" s="26">
        <v>4</v>
      </c>
      <c r="V51" s="27" t="s">
        <v>5</v>
      </c>
      <c r="W51" s="26">
        <v>2</v>
      </c>
      <c r="X51" s="24"/>
      <c r="Y51" s="25"/>
      <c r="Z51" s="24"/>
      <c r="AA51" s="28" t="s">
        <v>108</v>
      </c>
      <c r="AB51" s="1"/>
      <c r="AC51" s="1"/>
      <c r="AD51" s="4"/>
    </row>
    <row r="52" spans="1:30" ht="16.5" thickTop="1" x14ac:dyDescent="0.25">
      <c r="A52" s="1"/>
      <c r="B52" s="1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4"/>
    </row>
    <row r="53" spans="1:30" ht="15.75" x14ac:dyDescent="0.25">
      <c r="A53" s="4"/>
      <c r="B53" s="4"/>
      <c r="C53" s="4"/>
      <c r="D53" s="30"/>
      <c r="E53" s="4"/>
      <c r="F53" s="4"/>
      <c r="G53" s="4"/>
      <c r="H53" s="4"/>
      <c r="I53" s="4"/>
      <c r="J53" s="4"/>
      <c r="K53" s="4"/>
      <c r="L53" s="4"/>
      <c r="M53" s="4"/>
      <c r="N53" s="31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5.75" x14ac:dyDescent="0.25">
      <c r="A54" s="4"/>
      <c r="B54" s="4"/>
      <c r="C54" s="4"/>
      <c r="D54" s="30"/>
      <c r="E54" s="4"/>
      <c r="F54" s="4"/>
      <c r="G54" s="4"/>
      <c r="H54" s="4"/>
      <c r="I54" s="4"/>
      <c r="J54" s="4"/>
      <c r="K54" s="4"/>
      <c r="L54" s="4"/>
      <c r="M54" s="4"/>
      <c r="N54" s="31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</sheetData>
  <mergeCells count="13">
    <mergeCell ref="C29:N29"/>
    <mergeCell ref="P29:AA29"/>
    <mergeCell ref="C37:N37"/>
    <mergeCell ref="P37:AA37"/>
    <mergeCell ref="C45:N45"/>
    <mergeCell ref="P45:AA45"/>
    <mergeCell ref="C21:N21"/>
    <mergeCell ref="P21:AA21"/>
    <mergeCell ref="C2:AA2"/>
    <mergeCell ref="C5:N5"/>
    <mergeCell ref="P5:AA5"/>
    <mergeCell ref="C13:N13"/>
    <mergeCell ref="P13:AA1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3EA8-24B5-496B-9226-D884734EF485}">
  <dimension ref="A1:Z32"/>
  <sheetViews>
    <sheetView topLeftCell="B1" workbookViewId="0">
      <selection activeCell="S19" sqref="S19"/>
    </sheetView>
  </sheetViews>
  <sheetFormatPr defaultRowHeight="15" x14ac:dyDescent="0.25"/>
  <cols>
    <col min="1" max="16" width="10.28515625" customWidth="1"/>
  </cols>
  <sheetData>
    <row r="1" spans="1:26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26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26" ht="33.75" x14ac:dyDescent="0.25">
      <c r="A3" s="32"/>
      <c r="B3" s="133" t="s">
        <v>125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32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spans="1:26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26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26" x14ac:dyDescent="0.25">
      <c r="A6" s="32"/>
      <c r="B6" s="130" t="s">
        <v>126</v>
      </c>
      <c r="C6" s="130"/>
      <c r="D6" s="130"/>
      <c r="E6" s="131" t="s">
        <v>64</v>
      </c>
      <c r="F6" s="131"/>
      <c r="G6" s="131"/>
      <c r="H6" s="32"/>
      <c r="I6" s="32"/>
      <c r="J6" s="130" t="s">
        <v>127</v>
      </c>
      <c r="K6" s="130"/>
      <c r="L6" s="130"/>
      <c r="M6" s="131" t="s">
        <v>61</v>
      </c>
      <c r="N6" s="131"/>
      <c r="O6" s="131"/>
      <c r="P6" s="32"/>
    </row>
    <row r="7" spans="1:26" x14ac:dyDescent="0.25">
      <c r="A7" s="32"/>
      <c r="B7" s="123"/>
      <c r="C7" s="123"/>
      <c r="D7" s="123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</row>
    <row r="8" spans="1:26" x14ac:dyDescent="0.25">
      <c r="A8" s="32"/>
      <c r="B8" s="123"/>
      <c r="C8" s="123"/>
      <c r="D8" s="123"/>
      <c r="E8" s="32"/>
      <c r="F8" s="130" t="s">
        <v>128</v>
      </c>
      <c r="G8" s="130"/>
      <c r="H8" s="130"/>
      <c r="I8" s="131" t="s">
        <v>134</v>
      </c>
      <c r="J8" s="131"/>
      <c r="K8" s="131"/>
      <c r="L8" s="32"/>
      <c r="M8" s="32"/>
      <c r="N8" s="32"/>
      <c r="O8" s="32"/>
      <c r="P8" s="32"/>
    </row>
    <row r="9" spans="1:26" x14ac:dyDescent="0.25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pans="1:26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26" x14ac:dyDescent="0.25">
      <c r="A11" s="32"/>
      <c r="B11" s="32"/>
      <c r="C11" s="132" t="s">
        <v>129</v>
      </c>
      <c r="D11" s="132"/>
      <c r="E11" s="132"/>
      <c r="F11" s="32"/>
      <c r="G11" s="32"/>
      <c r="H11" s="32"/>
      <c r="I11" s="32"/>
      <c r="J11" s="32"/>
      <c r="K11" s="32"/>
      <c r="L11" s="132" t="s">
        <v>130</v>
      </c>
      <c r="M11" s="132"/>
      <c r="N11" s="132"/>
      <c r="O11" s="32"/>
      <c r="P11" s="32"/>
    </row>
    <row r="12" spans="1:26" x14ac:dyDescent="0.25">
      <c r="A12" s="32"/>
      <c r="B12" s="32"/>
      <c r="C12" s="135" t="s">
        <v>4</v>
      </c>
      <c r="D12" s="136"/>
      <c r="E12" s="124"/>
      <c r="F12" s="32"/>
      <c r="G12" s="32"/>
      <c r="H12" s="32"/>
      <c r="I12" s="32"/>
      <c r="J12" s="32"/>
      <c r="K12" s="32"/>
      <c r="L12" s="135" t="s">
        <v>6</v>
      </c>
      <c r="M12" s="136"/>
      <c r="N12" s="124"/>
      <c r="O12" s="32"/>
      <c r="P12" s="32"/>
    </row>
    <row r="13" spans="1:26" x14ac:dyDescent="0.25">
      <c r="A13" s="32"/>
      <c r="B13" s="32"/>
      <c r="C13" s="131" t="s">
        <v>13</v>
      </c>
      <c r="D13" s="134"/>
      <c r="E13" s="125"/>
      <c r="F13" s="32"/>
      <c r="G13" s="32"/>
      <c r="H13" s="32"/>
      <c r="I13" s="32"/>
      <c r="J13" s="32"/>
      <c r="K13" s="32"/>
      <c r="L13" s="131" t="s">
        <v>131</v>
      </c>
      <c r="M13" s="134"/>
      <c r="N13" s="125" t="s">
        <v>133</v>
      </c>
      <c r="O13" s="32"/>
      <c r="P13" s="32"/>
    </row>
    <row r="14" spans="1:26" x14ac:dyDescent="0.25">
      <c r="A14" s="32"/>
      <c r="B14" s="32"/>
      <c r="C14" s="131" t="s">
        <v>23</v>
      </c>
      <c r="D14" s="134"/>
      <c r="E14" s="125"/>
      <c r="F14" s="32"/>
      <c r="G14" s="32"/>
      <c r="H14" s="32"/>
      <c r="I14" s="32"/>
      <c r="J14" s="32"/>
      <c r="K14" s="32"/>
      <c r="L14" s="131" t="s">
        <v>29</v>
      </c>
      <c r="M14" s="134"/>
      <c r="N14" s="125"/>
      <c r="O14" s="32"/>
      <c r="P14" s="32"/>
    </row>
    <row r="15" spans="1:26" x14ac:dyDescent="0.25">
      <c r="A15" s="32"/>
      <c r="B15" s="32"/>
      <c r="C15" s="131" t="s">
        <v>26</v>
      </c>
      <c r="D15" s="134"/>
      <c r="E15" s="125"/>
      <c r="F15" s="32"/>
      <c r="G15" s="32"/>
      <c r="H15" s="32"/>
      <c r="I15" s="32"/>
      <c r="J15" s="32"/>
      <c r="K15" s="32"/>
      <c r="L15" s="131" t="s">
        <v>27</v>
      </c>
      <c r="M15" s="134"/>
      <c r="N15" s="125"/>
      <c r="O15" s="32"/>
      <c r="P15" s="32"/>
    </row>
    <row r="16" spans="1:26" x14ac:dyDescent="0.25">
      <c r="A16" s="32"/>
      <c r="B16" s="32"/>
      <c r="C16" s="131" t="s">
        <v>42</v>
      </c>
      <c r="D16" s="134"/>
      <c r="E16" s="125"/>
      <c r="F16" s="32"/>
      <c r="G16" s="32"/>
      <c r="H16" s="32"/>
      <c r="I16" s="32"/>
      <c r="J16" s="32"/>
      <c r="K16" s="32"/>
      <c r="L16" s="131" t="s">
        <v>43</v>
      </c>
      <c r="M16" s="134"/>
      <c r="N16" s="125"/>
      <c r="O16" s="32"/>
      <c r="P16" s="32"/>
    </row>
    <row r="17" spans="1:16" x14ac:dyDescent="0.25">
      <c r="A17" s="32"/>
      <c r="B17" s="32"/>
      <c r="C17" s="131" t="s">
        <v>45</v>
      </c>
      <c r="D17" s="134"/>
      <c r="E17" s="125" t="s">
        <v>5</v>
      </c>
      <c r="F17" s="32"/>
      <c r="G17" s="32"/>
      <c r="H17" s="32"/>
      <c r="I17" s="32"/>
      <c r="J17" s="32"/>
      <c r="K17" s="32"/>
      <c r="L17" s="131" t="s">
        <v>51</v>
      </c>
      <c r="M17" s="134"/>
      <c r="N17" s="125"/>
      <c r="O17" s="32"/>
      <c r="P17" s="32"/>
    </row>
    <row r="18" spans="1:16" x14ac:dyDescent="0.25">
      <c r="A18" s="32"/>
      <c r="B18" s="32"/>
      <c r="C18" s="131" t="s">
        <v>61</v>
      </c>
      <c r="D18" s="134"/>
      <c r="E18" s="125"/>
      <c r="F18" s="32"/>
      <c r="G18" s="32"/>
      <c r="H18" s="32"/>
      <c r="I18" s="32"/>
      <c r="J18" s="32"/>
      <c r="K18" s="32"/>
      <c r="L18" s="131" t="s">
        <v>68</v>
      </c>
      <c r="M18" s="134"/>
      <c r="N18" s="125"/>
      <c r="O18" s="32"/>
      <c r="P18" s="32"/>
    </row>
    <row r="19" spans="1:16" x14ac:dyDescent="0.25">
      <c r="A19" s="32"/>
      <c r="B19" s="32"/>
      <c r="C19" s="131" t="s">
        <v>64</v>
      </c>
      <c r="D19" s="134"/>
      <c r="E19" s="125"/>
      <c r="F19" s="32"/>
      <c r="G19" s="32"/>
      <c r="H19" s="32"/>
      <c r="I19" s="32"/>
      <c r="J19" s="32"/>
      <c r="K19" s="32"/>
      <c r="L19" s="131" t="s">
        <v>65</v>
      </c>
      <c r="M19" s="134"/>
      <c r="N19" s="125"/>
      <c r="O19" s="32"/>
      <c r="P19" s="32"/>
    </row>
    <row r="20" spans="1:16" x14ac:dyDescent="0.25">
      <c r="A20" s="32"/>
      <c r="B20" s="32"/>
      <c r="C20" s="131" t="s">
        <v>81</v>
      </c>
      <c r="D20" s="134"/>
      <c r="E20" s="125"/>
      <c r="F20" s="32"/>
      <c r="G20" s="32"/>
      <c r="H20" s="32"/>
      <c r="I20" s="32"/>
      <c r="J20" s="32"/>
      <c r="K20" s="32"/>
      <c r="L20" s="131" t="s">
        <v>132</v>
      </c>
      <c r="M20" s="134"/>
      <c r="N20" s="125"/>
      <c r="O20" s="32"/>
      <c r="P20" s="32"/>
    </row>
    <row r="21" spans="1:16" x14ac:dyDescent="0.25">
      <c r="A21" s="32"/>
      <c r="B21" s="32"/>
      <c r="C21" s="131" t="s">
        <v>89</v>
      </c>
      <c r="D21" s="134"/>
      <c r="E21" s="125"/>
      <c r="F21" s="32"/>
      <c r="G21" s="32"/>
      <c r="H21" s="32"/>
      <c r="I21" s="32"/>
      <c r="J21" s="32"/>
      <c r="K21" s="32"/>
      <c r="L21" s="131" t="s">
        <v>85</v>
      </c>
      <c r="M21" s="134"/>
      <c r="N21" s="125"/>
      <c r="O21" s="32"/>
      <c r="P21" s="32"/>
    </row>
    <row r="22" spans="1:16" x14ac:dyDescent="0.25">
      <c r="A22" s="32"/>
      <c r="B22" s="32"/>
      <c r="C22" s="131" t="s">
        <v>100</v>
      </c>
      <c r="D22" s="134"/>
      <c r="E22" s="125"/>
      <c r="F22" s="32"/>
      <c r="G22" s="32"/>
      <c r="H22" s="32"/>
      <c r="I22" s="32"/>
      <c r="J22" s="32"/>
      <c r="K22" s="32"/>
      <c r="L22" s="131" t="s">
        <v>105</v>
      </c>
      <c r="M22" s="134"/>
      <c r="N22" s="125"/>
      <c r="O22" s="32"/>
      <c r="P22" s="32"/>
    </row>
    <row r="23" spans="1:16" x14ac:dyDescent="0.25">
      <c r="A23" s="32"/>
      <c r="B23" s="32"/>
      <c r="C23" s="131" t="s">
        <v>102</v>
      </c>
      <c r="D23" s="134"/>
      <c r="E23" s="125"/>
      <c r="F23" s="32"/>
      <c r="G23" s="32"/>
      <c r="H23" s="32"/>
      <c r="I23" s="32"/>
      <c r="J23" s="32"/>
      <c r="K23" s="32"/>
      <c r="L23" s="131" t="s">
        <v>109</v>
      </c>
      <c r="M23" s="134"/>
      <c r="N23" s="125"/>
      <c r="O23" s="32"/>
      <c r="P23" s="32"/>
    </row>
    <row r="24" spans="1:16" x14ac:dyDescent="0.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</row>
    <row r="25" spans="1:16" x14ac:dyDescent="0.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</row>
    <row r="26" spans="1:16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</row>
    <row r="27" spans="1:16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</row>
    <row r="28" spans="1:16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</row>
    <row r="29" spans="1:16" x14ac:dyDescent="0.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</row>
    <row r="30" spans="1:16" ht="15.75" x14ac:dyDescent="0.25">
      <c r="B30" s="122"/>
    </row>
    <row r="31" spans="1:16" ht="15.75" x14ac:dyDescent="0.25">
      <c r="B31" s="122"/>
    </row>
    <row r="32" spans="1:16" ht="15.75" x14ac:dyDescent="0.25">
      <c r="B32" s="122"/>
    </row>
  </sheetData>
  <mergeCells count="33">
    <mergeCell ref="L23:M23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C23:D23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F8:H8"/>
    <mergeCell ref="I8:K8"/>
    <mergeCell ref="C11:E11"/>
    <mergeCell ref="L11:N11"/>
    <mergeCell ref="B3:O3"/>
    <mergeCell ref="B6:D6"/>
    <mergeCell ref="E6:G6"/>
    <mergeCell ref="J6:L6"/>
    <mergeCell ref="M6:O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4E15-CB12-456F-8B14-C2C07BEFEB7B}">
  <dimension ref="A1:AM45"/>
  <sheetViews>
    <sheetView topLeftCell="A15" workbookViewId="0">
      <selection activeCell="L40" sqref="L40"/>
    </sheetView>
  </sheetViews>
  <sheetFormatPr defaultRowHeight="15" x14ac:dyDescent="0.25"/>
  <cols>
    <col min="1" max="1" width="2.140625" customWidth="1"/>
    <col min="2" max="2" width="2.5703125" customWidth="1"/>
    <col min="3" max="3" width="18.5703125" customWidth="1"/>
    <col min="4" max="6" width="6.42578125" customWidth="1"/>
    <col min="7" max="7" width="18.5703125" customWidth="1"/>
    <col min="8" max="10" width="6.42578125" customWidth="1"/>
    <col min="11" max="11" width="18.5703125" customWidth="1"/>
    <col min="12" max="14" width="6.42578125" customWidth="1"/>
    <col min="15" max="15" width="18.5703125" customWidth="1"/>
    <col min="16" max="18" width="6.42578125" customWidth="1"/>
    <col min="19" max="19" width="18.5703125" customWidth="1"/>
    <col min="20" max="22" width="6.42578125" customWidth="1"/>
    <col min="23" max="23" width="18.5703125" customWidth="1"/>
    <col min="24" max="26" width="6.42578125" customWidth="1"/>
    <col min="27" max="27" width="18.5703125" customWidth="1"/>
    <col min="28" max="30" width="6.42578125" customWidth="1"/>
    <col min="31" max="31" width="18.5703125" customWidth="1"/>
    <col min="32" max="34" width="6.42578125" customWidth="1"/>
    <col min="35" max="35" width="18.5703125" customWidth="1"/>
    <col min="36" max="36" width="6.42578125" customWidth="1"/>
    <col min="37" max="38" width="2.28515625" customWidth="1"/>
  </cols>
  <sheetData>
    <row r="1" spans="1:39" x14ac:dyDescent="0.25">
      <c r="A1" s="32"/>
      <c r="B1" s="33"/>
      <c r="C1" s="32"/>
      <c r="D1" s="34"/>
      <c r="E1" s="34"/>
      <c r="F1" s="32"/>
      <c r="G1" s="32"/>
      <c r="H1" s="34"/>
      <c r="I1" s="34"/>
      <c r="J1" s="32"/>
      <c r="K1" s="32"/>
      <c r="L1" s="34"/>
      <c r="M1" s="34"/>
      <c r="N1" s="32"/>
      <c r="O1" s="32"/>
      <c r="P1" s="34"/>
      <c r="Q1" s="34"/>
      <c r="R1" s="32"/>
      <c r="S1" s="32"/>
      <c r="T1" s="32"/>
      <c r="U1" s="34"/>
      <c r="V1" s="32"/>
      <c r="W1" s="32"/>
      <c r="X1" s="34"/>
      <c r="Y1" s="34"/>
      <c r="Z1" s="32"/>
      <c r="AA1" s="32"/>
      <c r="AB1" s="34"/>
      <c r="AC1" s="32"/>
      <c r="AD1" s="32"/>
      <c r="AE1" s="32"/>
      <c r="AF1" s="34"/>
      <c r="AG1" s="32"/>
      <c r="AH1" s="32"/>
      <c r="AI1" s="32"/>
      <c r="AJ1" s="34"/>
      <c r="AK1" s="35"/>
      <c r="AL1" s="32"/>
      <c r="AM1" s="36"/>
    </row>
    <row r="2" spans="1:39" ht="46.5" x14ac:dyDescent="0.25">
      <c r="A2" s="32"/>
      <c r="B2" s="140" t="s">
        <v>116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32"/>
      <c r="AM2" s="36"/>
    </row>
    <row r="3" spans="1:39" ht="46.5" x14ac:dyDescent="0.25">
      <c r="A3" s="32"/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9"/>
      <c r="AL3" s="32"/>
      <c r="AM3" s="36"/>
    </row>
    <row r="4" spans="1:39" ht="15.75" thickBot="1" x14ac:dyDescent="0.3">
      <c r="A4" s="32"/>
      <c r="B4" s="33"/>
      <c r="C4" s="32"/>
      <c r="D4" s="34"/>
      <c r="E4" s="34"/>
      <c r="F4" s="32"/>
      <c r="G4" s="32"/>
      <c r="H4" s="34"/>
      <c r="I4" s="34"/>
      <c r="J4" s="32"/>
      <c r="K4" s="32"/>
      <c r="L4" s="34"/>
      <c r="M4" s="34"/>
      <c r="N4" s="32"/>
      <c r="O4" s="32"/>
      <c r="P4" s="34"/>
      <c r="Q4" s="34"/>
      <c r="R4" s="40"/>
      <c r="S4" s="32"/>
      <c r="T4" s="32"/>
      <c r="U4" s="34"/>
      <c r="V4" s="32"/>
      <c r="W4" s="32"/>
      <c r="X4" s="34"/>
      <c r="Y4" s="34"/>
      <c r="Z4" s="32"/>
      <c r="AA4" s="41"/>
      <c r="AB4" s="40"/>
      <c r="AC4" s="32"/>
      <c r="AD4" s="32"/>
      <c r="AE4" s="41"/>
      <c r="AF4" s="40"/>
      <c r="AG4" s="32"/>
      <c r="AH4" s="32"/>
      <c r="AI4" s="41"/>
      <c r="AJ4" s="40"/>
      <c r="AK4" s="35"/>
      <c r="AL4" s="32"/>
      <c r="AM4" s="36"/>
    </row>
    <row r="5" spans="1:39" ht="16.5" thickBot="1" x14ac:dyDescent="0.3">
      <c r="A5" s="32"/>
      <c r="B5" s="33"/>
      <c r="C5" s="137" t="s">
        <v>124</v>
      </c>
      <c r="D5" s="138"/>
      <c r="E5" s="40"/>
      <c r="F5" s="32"/>
      <c r="G5" s="32"/>
      <c r="H5" s="34"/>
      <c r="I5" s="34"/>
      <c r="J5" s="32"/>
      <c r="K5" s="32"/>
      <c r="L5" s="34"/>
      <c r="M5" s="34"/>
      <c r="N5" s="32"/>
      <c r="O5" s="32"/>
      <c r="P5" s="34"/>
      <c r="Q5" s="34"/>
      <c r="R5" s="32"/>
      <c r="S5" s="32"/>
      <c r="T5" s="32"/>
      <c r="U5" s="34"/>
      <c r="V5" s="32"/>
      <c r="W5" s="32"/>
      <c r="X5" s="34"/>
      <c r="Y5" s="34"/>
      <c r="Z5" s="32"/>
      <c r="AA5" s="32"/>
      <c r="AB5" s="34"/>
      <c r="AC5" s="32"/>
      <c r="AD5" s="32"/>
      <c r="AE5" s="32"/>
      <c r="AF5" s="34"/>
      <c r="AG5" s="32"/>
      <c r="AH5" s="32"/>
      <c r="AI5" s="137" t="s">
        <v>124</v>
      </c>
      <c r="AJ5" s="138"/>
      <c r="AK5" s="35"/>
      <c r="AL5" s="32"/>
      <c r="AM5" s="36"/>
    </row>
    <row r="6" spans="1:39" ht="15.75" thickBot="1" x14ac:dyDescent="0.3">
      <c r="A6" s="32"/>
      <c r="B6" s="33"/>
      <c r="C6" s="42">
        <v>46202</v>
      </c>
      <c r="D6" s="43">
        <v>74</v>
      </c>
      <c r="E6" s="44"/>
      <c r="F6" s="32"/>
      <c r="G6" s="32"/>
      <c r="H6" s="34"/>
      <c r="I6" s="34"/>
      <c r="J6" s="32"/>
      <c r="K6" s="32"/>
      <c r="L6" s="34"/>
      <c r="M6" s="34"/>
      <c r="N6" s="32"/>
      <c r="O6" s="32"/>
      <c r="P6" s="34"/>
      <c r="Q6" s="34"/>
      <c r="R6" s="32"/>
      <c r="S6" s="32"/>
      <c r="T6" s="32"/>
      <c r="U6" s="34"/>
      <c r="V6" s="32"/>
      <c r="W6" s="32"/>
      <c r="X6" s="34"/>
      <c r="Y6" s="34"/>
      <c r="Z6" s="32"/>
      <c r="AA6" s="32"/>
      <c r="AB6" s="34"/>
      <c r="AC6" s="32"/>
      <c r="AD6" s="32"/>
      <c r="AE6" s="32"/>
      <c r="AF6" s="34"/>
      <c r="AG6" s="32"/>
      <c r="AH6" s="32"/>
      <c r="AI6" s="42">
        <v>46202</v>
      </c>
      <c r="AJ6" s="43">
        <v>76</v>
      </c>
      <c r="AK6" s="35"/>
      <c r="AL6" s="32"/>
      <c r="AM6" s="36"/>
    </row>
    <row r="7" spans="1:39" ht="16.5" thickBot="1" x14ac:dyDescent="0.3">
      <c r="A7" s="32"/>
      <c r="B7" s="33"/>
      <c r="C7" s="45"/>
      <c r="D7" s="46"/>
      <c r="E7" s="47"/>
      <c r="F7" s="32"/>
      <c r="G7" s="137" t="s">
        <v>117</v>
      </c>
      <c r="H7" s="138"/>
      <c r="I7" s="40"/>
      <c r="J7" s="32"/>
      <c r="K7" s="32"/>
      <c r="L7" s="34"/>
      <c r="M7" s="34"/>
      <c r="N7" s="32"/>
      <c r="O7" s="32"/>
      <c r="P7" s="34"/>
      <c r="Q7" s="34"/>
      <c r="R7" s="32"/>
      <c r="S7" s="32"/>
      <c r="T7" s="32"/>
      <c r="U7" s="34"/>
      <c r="V7" s="32"/>
      <c r="W7" s="32"/>
      <c r="X7" s="34"/>
      <c r="Y7" s="34"/>
      <c r="Z7" s="32"/>
      <c r="AA7" s="32"/>
      <c r="AB7" s="34"/>
      <c r="AC7" s="32"/>
      <c r="AD7" s="32"/>
      <c r="AE7" s="137" t="s">
        <v>117</v>
      </c>
      <c r="AF7" s="138"/>
      <c r="AG7" s="32"/>
      <c r="AH7" s="32"/>
      <c r="AI7" s="45"/>
      <c r="AJ7" s="46"/>
      <c r="AK7" s="35"/>
      <c r="AL7" s="32"/>
      <c r="AM7" s="36"/>
    </row>
    <row r="8" spans="1:39" ht="15.75" thickBot="1" x14ac:dyDescent="0.3">
      <c r="A8" s="32"/>
      <c r="B8" s="33"/>
      <c r="C8" s="48"/>
      <c r="D8" s="49"/>
      <c r="E8" s="50"/>
      <c r="F8" s="51"/>
      <c r="G8" s="42">
        <v>46207</v>
      </c>
      <c r="H8" s="43">
        <v>89</v>
      </c>
      <c r="I8" s="44"/>
      <c r="J8" s="32"/>
      <c r="K8" s="32"/>
      <c r="L8" s="34"/>
      <c r="M8" s="34"/>
      <c r="N8" s="32"/>
      <c r="O8" s="32"/>
      <c r="P8" s="34"/>
      <c r="Q8" s="34"/>
      <c r="R8" s="32"/>
      <c r="S8" s="32"/>
      <c r="T8" s="32"/>
      <c r="U8" s="34"/>
      <c r="V8" s="32"/>
      <c r="W8" s="32"/>
      <c r="X8" s="34"/>
      <c r="Y8" s="34"/>
      <c r="Z8" s="32"/>
      <c r="AA8" s="32"/>
      <c r="AB8" s="34"/>
      <c r="AC8" s="32"/>
      <c r="AD8" s="32"/>
      <c r="AE8" s="42">
        <v>46208</v>
      </c>
      <c r="AF8" s="43">
        <v>91</v>
      </c>
      <c r="AG8" s="32"/>
      <c r="AH8" s="52"/>
      <c r="AI8" s="48"/>
      <c r="AJ8" s="49"/>
      <c r="AK8" s="35"/>
      <c r="AL8" s="32"/>
      <c r="AM8" s="36"/>
    </row>
    <row r="9" spans="1:39" ht="15.75" thickBot="1" x14ac:dyDescent="0.3">
      <c r="A9" s="32"/>
      <c r="B9" s="33"/>
      <c r="C9" s="53"/>
      <c r="D9" s="34"/>
      <c r="E9" s="54"/>
      <c r="F9" s="55"/>
      <c r="G9" s="45"/>
      <c r="H9" s="46"/>
      <c r="I9" s="47"/>
      <c r="J9" s="32"/>
      <c r="K9" s="32"/>
      <c r="L9" s="34"/>
      <c r="M9" s="34"/>
      <c r="N9" s="32"/>
      <c r="O9" s="32"/>
      <c r="P9" s="34"/>
      <c r="Q9" s="34"/>
      <c r="R9" s="32"/>
      <c r="S9" s="32"/>
      <c r="T9" s="32"/>
      <c r="U9" s="34"/>
      <c r="V9" s="32"/>
      <c r="W9" s="32"/>
      <c r="X9" s="34"/>
      <c r="Y9" s="34"/>
      <c r="Z9" s="32"/>
      <c r="AA9" s="32"/>
      <c r="AB9" s="34"/>
      <c r="AC9" s="32"/>
      <c r="AD9" s="32"/>
      <c r="AE9" s="45"/>
      <c r="AF9" s="46"/>
      <c r="AG9" s="56"/>
      <c r="AH9" s="57"/>
      <c r="AI9" s="53"/>
      <c r="AJ9" s="34"/>
      <c r="AK9" s="35"/>
      <c r="AL9" s="32"/>
      <c r="AM9" s="36"/>
    </row>
    <row r="10" spans="1:39" ht="15.75" thickBot="1" x14ac:dyDescent="0.3">
      <c r="A10" s="32"/>
      <c r="B10" s="33"/>
      <c r="C10" s="58">
        <v>46203</v>
      </c>
      <c r="D10" s="59">
        <v>77</v>
      </c>
      <c r="E10" s="60"/>
      <c r="F10" s="51"/>
      <c r="G10" s="48"/>
      <c r="H10" s="49"/>
      <c r="I10" s="61"/>
      <c r="J10" s="32"/>
      <c r="K10" s="32"/>
      <c r="L10" s="34"/>
      <c r="M10" s="34"/>
      <c r="N10" s="32"/>
      <c r="O10" s="32"/>
      <c r="P10" s="34"/>
      <c r="Q10" s="34"/>
      <c r="R10" s="32"/>
      <c r="S10" s="32"/>
      <c r="T10" s="32"/>
      <c r="U10" s="34"/>
      <c r="V10" s="32"/>
      <c r="W10" s="32"/>
      <c r="X10" s="34"/>
      <c r="Y10" s="34"/>
      <c r="Z10" s="32"/>
      <c r="AA10" s="32"/>
      <c r="AB10" s="34"/>
      <c r="AC10" s="32"/>
      <c r="AD10" s="52"/>
      <c r="AE10" s="48"/>
      <c r="AF10" s="49"/>
      <c r="AG10" s="32"/>
      <c r="AH10" s="57"/>
      <c r="AI10" s="58">
        <v>46203</v>
      </c>
      <c r="AJ10" s="59">
        <v>78</v>
      </c>
      <c r="AK10" s="35"/>
      <c r="AL10" s="32"/>
      <c r="AM10" s="36"/>
    </row>
    <row r="11" spans="1:39" ht="16.5" thickBot="1" x14ac:dyDescent="0.3">
      <c r="A11" s="32"/>
      <c r="B11" s="33"/>
      <c r="C11" s="45"/>
      <c r="D11" s="46"/>
      <c r="E11" s="54"/>
      <c r="F11" s="62"/>
      <c r="G11" s="63"/>
      <c r="H11" s="34"/>
      <c r="I11" s="64"/>
      <c r="J11" s="32"/>
      <c r="K11" s="137" t="s">
        <v>118</v>
      </c>
      <c r="L11" s="138"/>
      <c r="M11" s="40"/>
      <c r="N11" s="32"/>
      <c r="O11" s="32"/>
      <c r="P11" s="34"/>
      <c r="Q11" s="34"/>
      <c r="R11" s="32"/>
      <c r="S11" s="32"/>
      <c r="T11" s="32"/>
      <c r="U11" s="34"/>
      <c r="V11" s="32"/>
      <c r="W11" s="32"/>
      <c r="X11" s="34"/>
      <c r="Y11" s="34"/>
      <c r="Z11" s="32"/>
      <c r="AA11" s="137" t="s">
        <v>118</v>
      </c>
      <c r="AB11" s="138"/>
      <c r="AC11" s="32"/>
      <c r="AD11" s="57"/>
      <c r="AE11" s="32"/>
      <c r="AF11" s="34"/>
      <c r="AG11" s="32"/>
      <c r="AH11" s="65"/>
      <c r="AI11" s="45"/>
      <c r="AJ11" s="46"/>
      <c r="AK11" s="35"/>
      <c r="AL11" s="32"/>
      <c r="AM11" s="36"/>
    </row>
    <row r="12" spans="1:39" ht="15.75" thickBot="1" x14ac:dyDescent="0.3">
      <c r="A12" s="32"/>
      <c r="B12" s="33"/>
      <c r="C12" s="48"/>
      <c r="D12" s="49"/>
      <c r="E12" s="66"/>
      <c r="F12" s="32"/>
      <c r="G12" s="32"/>
      <c r="H12" s="34"/>
      <c r="I12" s="64"/>
      <c r="J12" s="32"/>
      <c r="K12" s="42">
        <v>46212</v>
      </c>
      <c r="L12" s="43">
        <v>97</v>
      </c>
      <c r="M12" s="44"/>
      <c r="N12" s="32"/>
      <c r="O12" s="32"/>
      <c r="P12" s="34"/>
      <c r="Q12" s="34"/>
      <c r="R12" s="32"/>
      <c r="S12" s="32"/>
      <c r="T12" s="32"/>
      <c r="U12" s="34"/>
      <c r="V12" s="32"/>
      <c r="W12" s="32"/>
      <c r="X12" s="34"/>
      <c r="Y12" s="34"/>
      <c r="Z12" s="32"/>
      <c r="AA12" s="42">
        <v>46215</v>
      </c>
      <c r="AB12" s="43">
        <v>99</v>
      </c>
      <c r="AC12" s="32"/>
      <c r="AD12" s="57"/>
      <c r="AE12" s="32"/>
      <c r="AF12" s="34"/>
      <c r="AG12" s="32"/>
      <c r="AH12" s="32"/>
      <c r="AI12" s="48"/>
      <c r="AJ12" s="49"/>
      <c r="AK12" s="35"/>
      <c r="AL12" s="32"/>
      <c r="AM12" s="36"/>
    </row>
    <row r="13" spans="1:39" ht="15.75" thickBot="1" x14ac:dyDescent="0.3">
      <c r="A13" s="32"/>
      <c r="B13" s="33"/>
      <c r="C13" s="53"/>
      <c r="D13" s="34"/>
      <c r="E13" s="34"/>
      <c r="F13" s="32"/>
      <c r="G13" s="32"/>
      <c r="H13" s="34"/>
      <c r="I13" s="64"/>
      <c r="J13" s="67"/>
      <c r="K13" s="45"/>
      <c r="L13" s="46"/>
      <c r="M13" s="47"/>
      <c r="N13" s="32"/>
      <c r="O13" s="32"/>
      <c r="P13" s="34"/>
      <c r="Q13" s="34"/>
      <c r="R13" s="32"/>
      <c r="S13" s="32"/>
      <c r="T13" s="32"/>
      <c r="U13" s="34"/>
      <c r="V13" s="32"/>
      <c r="W13" s="32"/>
      <c r="X13" s="34"/>
      <c r="Y13" s="34"/>
      <c r="Z13" s="32"/>
      <c r="AA13" s="45"/>
      <c r="AB13" s="46"/>
      <c r="AC13" s="68"/>
      <c r="AD13" s="57"/>
      <c r="AE13" s="32"/>
      <c r="AF13" s="34"/>
      <c r="AG13" s="32"/>
      <c r="AH13" s="32"/>
      <c r="AI13" s="53"/>
      <c r="AJ13" s="34"/>
      <c r="AK13" s="35"/>
      <c r="AL13" s="32"/>
      <c r="AM13" s="36"/>
    </row>
    <row r="14" spans="1:39" ht="16.5" thickBot="1" x14ac:dyDescent="0.3">
      <c r="A14" s="32"/>
      <c r="B14" s="33"/>
      <c r="C14" s="58">
        <v>46201</v>
      </c>
      <c r="D14" s="59">
        <v>73</v>
      </c>
      <c r="E14" s="44"/>
      <c r="F14" s="32"/>
      <c r="G14" s="32"/>
      <c r="H14" s="34"/>
      <c r="I14" s="64"/>
      <c r="J14" s="32"/>
      <c r="K14" s="48"/>
      <c r="L14" s="49"/>
      <c r="M14" s="61"/>
      <c r="N14" s="32"/>
      <c r="O14" s="32"/>
      <c r="P14" s="34"/>
      <c r="Q14" s="142" t="s">
        <v>119</v>
      </c>
      <c r="R14" s="143"/>
      <c r="S14" s="143"/>
      <c r="T14" s="143"/>
      <c r="U14" s="143"/>
      <c r="V14" s="144"/>
      <c r="W14" s="32"/>
      <c r="X14" s="34"/>
      <c r="Y14" s="34"/>
      <c r="Z14" s="52"/>
      <c r="AA14" s="48"/>
      <c r="AB14" s="49"/>
      <c r="AC14" s="32"/>
      <c r="AD14" s="57"/>
      <c r="AE14" s="32"/>
      <c r="AF14" s="34"/>
      <c r="AG14" s="32"/>
      <c r="AH14" s="32"/>
      <c r="AI14" s="58">
        <v>46203</v>
      </c>
      <c r="AJ14" s="59">
        <v>79</v>
      </c>
      <c r="AK14" s="35"/>
      <c r="AL14" s="32"/>
      <c r="AM14" s="36"/>
    </row>
    <row r="15" spans="1:39" ht="15.75" thickBot="1" x14ac:dyDescent="0.3">
      <c r="A15" s="32"/>
      <c r="B15" s="33"/>
      <c r="C15" s="45"/>
      <c r="D15" s="46"/>
      <c r="E15" s="47"/>
      <c r="F15" s="32"/>
      <c r="G15" s="53"/>
      <c r="H15" s="34"/>
      <c r="I15" s="64"/>
      <c r="J15" s="32"/>
      <c r="K15" s="32"/>
      <c r="L15" s="34"/>
      <c r="M15" s="64"/>
      <c r="N15" s="32"/>
      <c r="O15" s="32"/>
      <c r="P15" s="34"/>
      <c r="Q15" s="145"/>
      <c r="R15" s="146"/>
      <c r="S15" s="146"/>
      <c r="T15" s="146"/>
      <c r="U15" s="146"/>
      <c r="V15" s="147"/>
      <c r="W15" s="32"/>
      <c r="X15" s="34"/>
      <c r="Y15" s="34"/>
      <c r="Z15" s="57"/>
      <c r="AA15" s="32"/>
      <c r="AB15" s="34"/>
      <c r="AC15" s="32"/>
      <c r="AD15" s="57"/>
      <c r="AE15" s="53"/>
      <c r="AF15" s="34"/>
      <c r="AG15" s="32"/>
      <c r="AH15" s="32"/>
      <c r="AI15" s="45"/>
      <c r="AJ15" s="46"/>
      <c r="AK15" s="35"/>
      <c r="AL15" s="32"/>
      <c r="AM15" s="36"/>
    </row>
    <row r="16" spans="1:39" ht="15.75" thickBot="1" x14ac:dyDescent="0.3">
      <c r="A16" s="32"/>
      <c r="B16" s="33"/>
      <c r="C16" s="48"/>
      <c r="D16" s="49"/>
      <c r="E16" s="50"/>
      <c r="F16" s="51"/>
      <c r="G16" s="58">
        <v>46207</v>
      </c>
      <c r="H16" s="59">
        <v>90</v>
      </c>
      <c r="I16" s="69"/>
      <c r="J16" s="32"/>
      <c r="K16" s="32"/>
      <c r="L16" s="34"/>
      <c r="M16" s="64"/>
      <c r="N16" s="32"/>
      <c r="O16" s="32"/>
      <c r="P16" s="34"/>
      <c r="Q16" s="145"/>
      <c r="R16" s="146"/>
      <c r="S16" s="146"/>
      <c r="T16" s="146"/>
      <c r="U16" s="146"/>
      <c r="V16" s="147"/>
      <c r="W16" s="32"/>
      <c r="X16" s="34"/>
      <c r="Y16" s="34"/>
      <c r="Z16" s="57"/>
      <c r="AA16" s="32"/>
      <c r="AB16" s="34"/>
      <c r="AC16" s="32"/>
      <c r="AD16" s="57"/>
      <c r="AE16" s="58">
        <v>46208</v>
      </c>
      <c r="AF16" s="59">
        <v>92</v>
      </c>
      <c r="AG16" s="32"/>
      <c r="AH16" s="52"/>
      <c r="AI16" s="48"/>
      <c r="AJ16" s="49"/>
      <c r="AK16" s="35"/>
      <c r="AL16" s="32"/>
      <c r="AM16" s="36"/>
    </row>
    <row r="17" spans="1:39" ht="15.75" thickBot="1" x14ac:dyDescent="0.3">
      <c r="A17" s="32"/>
      <c r="B17" s="33"/>
      <c r="C17" s="53"/>
      <c r="D17" s="34"/>
      <c r="E17" s="54"/>
      <c r="F17" s="55"/>
      <c r="G17" s="45"/>
      <c r="H17" s="46"/>
      <c r="I17" s="70"/>
      <c r="J17" s="32"/>
      <c r="K17" s="32"/>
      <c r="L17" s="34"/>
      <c r="M17" s="64"/>
      <c r="N17" s="32"/>
      <c r="O17" s="32"/>
      <c r="P17" s="34"/>
      <c r="Q17" s="34"/>
      <c r="R17" s="32"/>
      <c r="S17" s="32"/>
      <c r="T17" s="32"/>
      <c r="U17" s="34"/>
      <c r="V17" s="32"/>
      <c r="W17" s="32"/>
      <c r="X17" s="34"/>
      <c r="Y17" s="34"/>
      <c r="Z17" s="57"/>
      <c r="AA17" s="32"/>
      <c r="AB17" s="34"/>
      <c r="AC17" s="32"/>
      <c r="AD17" s="65"/>
      <c r="AE17" s="45"/>
      <c r="AF17" s="46"/>
      <c r="AG17" s="56"/>
      <c r="AH17" s="57"/>
      <c r="AI17" s="53"/>
      <c r="AJ17" s="34"/>
      <c r="AK17" s="35"/>
      <c r="AL17" s="32"/>
      <c r="AM17" s="36"/>
    </row>
    <row r="18" spans="1:39" ht="16.5" thickBot="1" x14ac:dyDescent="0.3">
      <c r="A18" s="32"/>
      <c r="B18" s="33"/>
      <c r="C18" s="58">
        <v>46202</v>
      </c>
      <c r="D18" s="59">
        <v>75</v>
      </c>
      <c r="E18" s="60"/>
      <c r="F18" s="51"/>
      <c r="G18" s="48"/>
      <c r="H18" s="49"/>
      <c r="I18" s="47"/>
      <c r="J18" s="32"/>
      <c r="K18" s="32"/>
      <c r="L18" s="34"/>
      <c r="M18" s="64"/>
      <c r="N18" s="32"/>
      <c r="O18" s="137" t="s">
        <v>120</v>
      </c>
      <c r="P18" s="138"/>
      <c r="Q18" s="40"/>
      <c r="R18" s="32"/>
      <c r="S18" s="32"/>
      <c r="T18" s="32"/>
      <c r="U18" s="34"/>
      <c r="V18" s="32"/>
      <c r="W18" s="137" t="s">
        <v>120</v>
      </c>
      <c r="X18" s="138"/>
      <c r="Y18" s="32"/>
      <c r="Z18" s="57"/>
      <c r="AA18" s="32"/>
      <c r="AB18" s="34"/>
      <c r="AC18" s="32"/>
      <c r="AD18" s="32"/>
      <c r="AE18" s="48"/>
      <c r="AF18" s="49"/>
      <c r="AG18" s="32"/>
      <c r="AH18" s="57"/>
      <c r="AI18" s="58">
        <v>46204</v>
      </c>
      <c r="AJ18" s="59">
        <v>80</v>
      </c>
      <c r="AK18" s="35"/>
      <c r="AL18" s="32"/>
      <c r="AM18" s="36"/>
    </row>
    <row r="19" spans="1:39" ht="15.75" thickBot="1" x14ac:dyDescent="0.3">
      <c r="A19" s="32"/>
      <c r="B19" s="33"/>
      <c r="C19" s="45"/>
      <c r="D19" s="46"/>
      <c r="E19" s="54"/>
      <c r="F19" s="62"/>
      <c r="G19" s="32"/>
      <c r="H19" s="34"/>
      <c r="I19" s="34"/>
      <c r="J19" s="32"/>
      <c r="K19" s="32"/>
      <c r="L19" s="34"/>
      <c r="M19" s="64"/>
      <c r="N19" s="32"/>
      <c r="O19" s="42">
        <v>46217</v>
      </c>
      <c r="P19" s="71">
        <v>101</v>
      </c>
      <c r="Q19" s="44"/>
      <c r="R19" s="32"/>
      <c r="S19" s="32"/>
      <c r="T19" s="32"/>
      <c r="U19" s="34"/>
      <c r="V19" s="32"/>
      <c r="W19" s="42">
        <v>46218</v>
      </c>
      <c r="X19" s="71">
        <v>102</v>
      </c>
      <c r="Y19" s="32"/>
      <c r="Z19" s="57"/>
      <c r="AA19" s="32"/>
      <c r="AB19" s="34"/>
      <c r="AC19" s="32"/>
      <c r="AD19" s="32"/>
      <c r="AE19" s="32"/>
      <c r="AF19" s="34"/>
      <c r="AG19" s="32"/>
      <c r="AH19" s="65"/>
      <c r="AI19" s="45"/>
      <c r="AJ19" s="46"/>
      <c r="AK19" s="35"/>
      <c r="AL19" s="32"/>
      <c r="AM19" s="36"/>
    </row>
    <row r="20" spans="1:39" ht="16.5" thickBot="1" x14ac:dyDescent="0.3">
      <c r="A20" s="32"/>
      <c r="B20" s="33"/>
      <c r="C20" s="48"/>
      <c r="D20" s="49"/>
      <c r="E20" s="66"/>
      <c r="F20" s="32"/>
      <c r="G20" s="32"/>
      <c r="H20" s="34"/>
      <c r="I20" s="34"/>
      <c r="J20" s="32"/>
      <c r="K20" s="32"/>
      <c r="L20" s="34"/>
      <c r="M20" s="64"/>
      <c r="N20" s="67"/>
      <c r="O20" s="45"/>
      <c r="P20" s="46"/>
      <c r="Q20" s="47"/>
      <c r="R20" s="32"/>
      <c r="S20" s="137" t="s">
        <v>121</v>
      </c>
      <c r="T20" s="138"/>
      <c r="U20" s="34"/>
      <c r="V20" s="32"/>
      <c r="W20" s="45"/>
      <c r="X20" s="46"/>
      <c r="Y20" s="68"/>
      <c r="Z20" s="57"/>
      <c r="AA20" s="32"/>
      <c r="AB20" s="34"/>
      <c r="AC20" s="32"/>
      <c r="AD20" s="32"/>
      <c r="AE20" s="32"/>
      <c r="AF20" s="34"/>
      <c r="AG20" s="32"/>
      <c r="AH20" s="32"/>
      <c r="AI20" s="48"/>
      <c r="AJ20" s="49"/>
      <c r="AK20" s="35"/>
      <c r="AL20" s="32"/>
      <c r="AM20" s="36"/>
    </row>
    <row r="21" spans="1:39" ht="15.75" thickBot="1" x14ac:dyDescent="0.3">
      <c r="A21" s="32"/>
      <c r="B21" s="33"/>
      <c r="C21" s="53"/>
      <c r="D21" s="34"/>
      <c r="E21" s="34"/>
      <c r="F21" s="32"/>
      <c r="G21" s="32"/>
      <c r="H21" s="34"/>
      <c r="I21" s="34"/>
      <c r="J21" s="32"/>
      <c r="K21" s="32"/>
      <c r="L21" s="34"/>
      <c r="M21" s="64"/>
      <c r="N21" s="32"/>
      <c r="O21" s="48"/>
      <c r="P21" s="49"/>
      <c r="Q21" s="61"/>
      <c r="R21" s="32"/>
      <c r="S21" s="42">
        <v>46222</v>
      </c>
      <c r="T21" s="71">
        <v>104</v>
      </c>
      <c r="U21" s="41"/>
      <c r="V21" s="52"/>
      <c r="W21" s="48"/>
      <c r="X21" s="49"/>
      <c r="Y21" s="32"/>
      <c r="Z21" s="57"/>
      <c r="AA21" s="32"/>
      <c r="AB21" s="34"/>
      <c r="AC21" s="32"/>
      <c r="AD21" s="32"/>
      <c r="AE21" s="32"/>
      <c r="AF21" s="34"/>
      <c r="AG21" s="32"/>
      <c r="AH21" s="32"/>
      <c r="AI21" s="53"/>
      <c r="AJ21" s="34"/>
      <c r="AK21" s="35"/>
      <c r="AL21" s="32"/>
      <c r="AM21" s="36"/>
    </row>
    <row r="22" spans="1:39" ht="15.75" thickBot="1" x14ac:dyDescent="0.3">
      <c r="A22" s="32"/>
      <c r="B22" s="33"/>
      <c r="C22" s="58">
        <v>46205</v>
      </c>
      <c r="D22" s="59">
        <v>83</v>
      </c>
      <c r="E22" s="44"/>
      <c r="F22" s="32"/>
      <c r="G22" s="32"/>
      <c r="H22" s="34"/>
      <c r="I22" s="34"/>
      <c r="J22" s="32"/>
      <c r="K22" s="32"/>
      <c r="L22" s="34"/>
      <c r="M22" s="64"/>
      <c r="N22" s="32"/>
      <c r="O22" s="32"/>
      <c r="P22" s="34"/>
      <c r="Q22" s="72"/>
      <c r="R22" s="47"/>
      <c r="S22" s="45"/>
      <c r="T22" s="46"/>
      <c r="U22" s="73"/>
      <c r="V22" s="74"/>
      <c r="W22" s="32"/>
      <c r="X22" s="34"/>
      <c r="Y22" s="34"/>
      <c r="Z22" s="57"/>
      <c r="AA22" s="32"/>
      <c r="AB22" s="34"/>
      <c r="AC22" s="32"/>
      <c r="AD22" s="32"/>
      <c r="AE22" s="32"/>
      <c r="AF22" s="34"/>
      <c r="AG22" s="32"/>
      <c r="AH22" s="32"/>
      <c r="AI22" s="58">
        <v>46206</v>
      </c>
      <c r="AJ22" s="59">
        <v>86</v>
      </c>
      <c r="AK22" s="35"/>
      <c r="AL22" s="32"/>
      <c r="AM22" s="36"/>
    </row>
    <row r="23" spans="1:39" ht="15.75" thickBot="1" x14ac:dyDescent="0.3">
      <c r="A23" s="32"/>
      <c r="B23" s="33"/>
      <c r="C23" s="45"/>
      <c r="D23" s="46"/>
      <c r="E23" s="47"/>
      <c r="F23" s="32"/>
      <c r="G23" s="53"/>
      <c r="H23" s="34"/>
      <c r="I23" s="34"/>
      <c r="J23" s="32"/>
      <c r="K23" s="32"/>
      <c r="L23" s="34"/>
      <c r="M23" s="64"/>
      <c r="N23" s="32"/>
      <c r="O23" s="32"/>
      <c r="P23" s="34"/>
      <c r="Q23" s="75"/>
      <c r="R23" s="61"/>
      <c r="S23" s="48"/>
      <c r="T23" s="49"/>
      <c r="U23" s="34"/>
      <c r="V23" s="76"/>
      <c r="W23" s="32"/>
      <c r="X23" s="34"/>
      <c r="Y23" s="34"/>
      <c r="Z23" s="57"/>
      <c r="AA23" s="32"/>
      <c r="AB23" s="34"/>
      <c r="AC23" s="32"/>
      <c r="AD23" s="32"/>
      <c r="AE23" s="53"/>
      <c r="AF23" s="34"/>
      <c r="AG23" s="32"/>
      <c r="AH23" s="32"/>
      <c r="AI23" s="45"/>
      <c r="AJ23" s="46"/>
      <c r="AK23" s="35"/>
      <c r="AL23" s="32"/>
      <c r="AM23" s="36"/>
    </row>
    <row r="24" spans="1:39" ht="15.75" thickBot="1" x14ac:dyDescent="0.3">
      <c r="A24" s="32"/>
      <c r="B24" s="33"/>
      <c r="C24" s="48"/>
      <c r="D24" s="49"/>
      <c r="E24" s="50"/>
      <c r="F24" s="51"/>
      <c r="G24" s="58">
        <v>46209</v>
      </c>
      <c r="H24" s="59">
        <v>93</v>
      </c>
      <c r="I24" s="44"/>
      <c r="J24" s="32"/>
      <c r="K24" s="32"/>
      <c r="L24" s="34"/>
      <c r="M24" s="64"/>
      <c r="N24" s="32"/>
      <c r="O24" s="32"/>
      <c r="P24" s="34"/>
      <c r="Q24" s="75"/>
      <c r="R24" s="32"/>
      <c r="S24" s="32"/>
      <c r="T24" s="32"/>
      <c r="U24" s="34"/>
      <c r="V24" s="77"/>
      <c r="W24" s="32"/>
      <c r="X24" s="34"/>
      <c r="Y24" s="34"/>
      <c r="Z24" s="57"/>
      <c r="AA24" s="32"/>
      <c r="AB24" s="34"/>
      <c r="AC24" s="32"/>
      <c r="AD24" s="32"/>
      <c r="AE24" s="58">
        <v>46210</v>
      </c>
      <c r="AF24" s="59">
        <v>95</v>
      </c>
      <c r="AG24" s="32"/>
      <c r="AH24" s="52"/>
      <c r="AI24" s="48"/>
      <c r="AJ24" s="49"/>
      <c r="AK24" s="35"/>
      <c r="AL24" s="32"/>
      <c r="AM24" s="36"/>
    </row>
    <row r="25" spans="1:39" ht="15.75" thickBot="1" x14ac:dyDescent="0.3">
      <c r="A25" s="32"/>
      <c r="B25" s="33"/>
      <c r="C25" s="53"/>
      <c r="D25" s="34"/>
      <c r="E25" s="54"/>
      <c r="F25" s="55"/>
      <c r="G25" s="45"/>
      <c r="H25" s="46"/>
      <c r="I25" s="47"/>
      <c r="J25" s="32"/>
      <c r="K25" s="32"/>
      <c r="L25" s="34"/>
      <c r="M25" s="64"/>
      <c r="N25" s="32"/>
      <c r="O25" s="32"/>
      <c r="P25" s="34"/>
      <c r="Q25" s="75"/>
      <c r="R25" s="32"/>
      <c r="S25" s="139"/>
      <c r="T25" s="139"/>
      <c r="U25" s="34"/>
      <c r="V25" s="77"/>
      <c r="W25" s="32"/>
      <c r="X25" s="34"/>
      <c r="Y25" s="34"/>
      <c r="Z25" s="57"/>
      <c r="AA25" s="32"/>
      <c r="AB25" s="34"/>
      <c r="AC25" s="32"/>
      <c r="AD25" s="32"/>
      <c r="AE25" s="45"/>
      <c r="AF25" s="46"/>
      <c r="AG25" s="56"/>
      <c r="AH25" s="57"/>
      <c r="AI25" s="53"/>
      <c r="AJ25" s="34"/>
      <c r="AK25" s="35"/>
      <c r="AL25" s="32"/>
      <c r="AM25" s="36"/>
    </row>
    <row r="26" spans="1:39" ht="16.5" thickBot="1" x14ac:dyDescent="0.3">
      <c r="A26" s="32"/>
      <c r="B26" s="33"/>
      <c r="C26" s="58">
        <v>46205</v>
      </c>
      <c r="D26" s="59">
        <v>84</v>
      </c>
      <c r="E26" s="60"/>
      <c r="F26" s="51"/>
      <c r="G26" s="48"/>
      <c r="H26" s="49"/>
      <c r="I26" s="61"/>
      <c r="J26" s="32"/>
      <c r="K26" s="32"/>
      <c r="L26" s="34"/>
      <c r="M26" s="64"/>
      <c r="N26" s="32"/>
      <c r="O26" s="32"/>
      <c r="P26" s="34"/>
      <c r="Q26" s="75"/>
      <c r="R26" s="32"/>
      <c r="S26" s="137" t="s">
        <v>122</v>
      </c>
      <c r="T26" s="138"/>
      <c r="U26" s="34"/>
      <c r="V26" s="77"/>
      <c r="W26" s="32"/>
      <c r="X26" s="34"/>
      <c r="Y26" s="34"/>
      <c r="Z26" s="57"/>
      <c r="AA26" s="32"/>
      <c r="AB26" s="34"/>
      <c r="AC26" s="32"/>
      <c r="AD26" s="52"/>
      <c r="AE26" s="48"/>
      <c r="AF26" s="49"/>
      <c r="AG26" s="32"/>
      <c r="AH26" s="57"/>
      <c r="AI26" s="58">
        <v>46206</v>
      </c>
      <c r="AJ26" s="59">
        <v>88</v>
      </c>
      <c r="AK26" s="35"/>
      <c r="AL26" s="32"/>
      <c r="AM26" s="36"/>
    </row>
    <row r="27" spans="1:39" ht="15.75" thickBot="1" x14ac:dyDescent="0.3">
      <c r="A27" s="32"/>
      <c r="B27" s="33"/>
      <c r="C27" s="45"/>
      <c r="D27" s="46"/>
      <c r="E27" s="54"/>
      <c r="F27" s="62"/>
      <c r="G27" s="32"/>
      <c r="H27" s="34"/>
      <c r="I27" s="64"/>
      <c r="J27" s="32"/>
      <c r="K27" s="53"/>
      <c r="L27" s="34"/>
      <c r="M27" s="64"/>
      <c r="N27" s="32"/>
      <c r="O27" s="32"/>
      <c r="P27" s="34"/>
      <c r="Q27" s="75"/>
      <c r="R27" s="32"/>
      <c r="S27" s="58">
        <v>46221</v>
      </c>
      <c r="T27" s="78">
        <v>103</v>
      </c>
      <c r="U27" s="41"/>
      <c r="V27" s="77"/>
      <c r="W27" s="32"/>
      <c r="X27" s="34"/>
      <c r="Y27" s="34"/>
      <c r="Z27" s="57"/>
      <c r="AA27" s="53"/>
      <c r="AB27" s="34"/>
      <c r="AC27" s="32"/>
      <c r="AD27" s="57"/>
      <c r="AE27" s="32"/>
      <c r="AF27" s="34"/>
      <c r="AG27" s="32"/>
      <c r="AH27" s="65"/>
      <c r="AI27" s="45"/>
      <c r="AJ27" s="46"/>
      <c r="AK27" s="35"/>
      <c r="AL27" s="32"/>
      <c r="AM27" s="36"/>
    </row>
    <row r="28" spans="1:39" ht="15.75" thickBot="1" x14ac:dyDescent="0.3">
      <c r="A28" s="32"/>
      <c r="B28" s="33"/>
      <c r="C28" s="48"/>
      <c r="D28" s="49"/>
      <c r="E28" s="66"/>
      <c r="F28" s="32"/>
      <c r="G28" s="32"/>
      <c r="H28" s="34"/>
      <c r="I28" s="64"/>
      <c r="J28" s="32"/>
      <c r="K28" s="58">
        <v>46213</v>
      </c>
      <c r="L28" s="59">
        <v>98</v>
      </c>
      <c r="M28" s="69"/>
      <c r="N28" s="32"/>
      <c r="O28" s="32"/>
      <c r="P28" s="34"/>
      <c r="Q28" s="79"/>
      <c r="R28" s="80"/>
      <c r="S28" s="45"/>
      <c r="T28" s="46"/>
      <c r="U28" s="81"/>
      <c r="V28" s="82"/>
      <c r="W28" s="32"/>
      <c r="X28" s="34"/>
      <c r="Y28" s="34"/>
      <c r="Z28" s="57"/>
      <c r="AA28" s="58">
        <v>46215</v>
      </c>
      <c r="AB28" s="78">
        <v>100</v>
      </c>
      <c r="AC28" s="32"/>
      <c r="AD28" s="57"/>
      <c r="AE28" s="32"/>
      <c r="AF28" s="34"/>
      <c r="AG28" s="32"/>
      <c r="AH28" s="32"/>
      <c r="AI28" s="48"/>
      <c r="AJ28" s="49"/>
      <c r="AK28" s="35"/>
      <c r="AL28" s="32"/>
      <c r="AM28" s="36"/>
    </row>
    <row r="29" spans="1:39" ht="15.75" thickBot="1" x14ac:dyDescent="0.3">
      <c r="A29" s="32"/>
      <c r="B29" s="33"/>
      <c r="C29" s="53"/>
      <c r="D29" s="34"/>
      <c r="E29" s="34"/>
      <c r="F29" s="32"/>
      <c r="G29" s="32"/>
      <c r="H29" s="34"/>
      <c r="I29" s="64"/>
      <c r="J29" s="67"/>
      <c r="K29" s="45"/>
      <c r="L29" s="46"/>
      <c r="M29" s="70"/>
      <c r="N29" s="32"/>
      <c r="O29" s="32"/>
      <c r="P29" s="34"/>
      <c r="Q29" s="34"/>
      <c r="R29" s="32"/>
      <c r="S29" s="48"/>
      <c r="T29" s="49"/>
      <c r="U29" s="41"/>
      <c r="V29" s="32"/>
      <c r="W29" s="32"/>
      <c r="X29" s="34"/>
      <c r="Y29" s="34"/>
      <c r="Z29" s="65"/>
      <c r="AA29" s="45"/>
      <c r="AB29" s="46"/>
      <c r="AC29" s="68"/>
      <c r="AD29" s="57"/>
      <c r="AE29" s="32"/>
      <c r="AF29" s="34"/>
      <c r="AG29" s="32"/>
      <c r="AH29" s="32"/>
      <c r="AI29" s="53"/>
      <c r="AJ29" s="34"/>
      <c r="AK29" s="35"/>
      <c r="AL29" s="32"/>
      <c r="AM29" s="36"/>
    </row>
    <row r="30" spans="1:39" ht="15.75" thickBot="1" x14ac:dyDescent="0.3">
      <c r="A30" s="32"/>
      <c r="B30" s="33"/>
      <c r="C30" s="58">
        <v>46204</v>
      </c>
      <c r="D30" s="59">
        <v>81</v>
      </c>
      <c r="E30" s="44"/>
      <c r="F30" s="32"/>
      <c r="G30" s="32"/>
      <c r="H30" s="34"/>
      <c r="I30" s="64"/>
      <c r="J30" s="32"/>
      <c r="K30" s="48"/>
      <c r="L30" s="49"/>
      <c r="M30" s="47"/>
      <c r="N30" s="32"/>
      <c r="O30" s="32"/>
      <c r="P30" s="34"/>
      <c r="Q30" s="34"/>
      <c r="R30" s="32"/>
      <c r="S30" s="41"/>
      <c r="T30" s="41"/>
      <c r="U30" s="41"/>
      <c r="V30" s="32"/>
      <c r="W30" s="32"/>
      <c r="X30" s="34"/>
      <c r="Y30" s="34"/>
      <c r="Z30" s="32"/>
      <c r="AA30" s="48"/>
      <c r="AB30" s="49"/>
      <c r="AC30" s="32"/>
      <c r="AD30" s="57"/>
      <c r="AE30" s="32"/>
      <c r="AF30" s="34"/>
      <c r="AG30" s="32"/>
      <c r="AH30" s="32"/>
      <c r="AI30" s="58">
        <v>46205</v>
      </c>
      <c r="AJ30" s="59">
        <v>85</v>
      </c>
      <c r="AK30" s="35"/>
      <c r="AL30" s="32"/>
      <c r="AM30" s="36"/>
    </row>
    <row r="31" spans="1:39" ht="16.5" thickBot="1" x14ac:dyDescent="0.3">
      <c r="A31" s="32"/>
      <c r="B31" s="33"/>
      <c r="C31" s="45"/>
      <c r="D31" s="46"/>
      <c r="E31" s="47"/>
      <c r="F31" s="32"/>
      <c r="G31" s="53"/>
      <c r="H31" s="34"/>
      <c r="I31" s="64"/>
      <c r="J31" s="32"/>
      <c r="K31" s="32"/>
      <c r="L31" s="34"/>
      <c r="M31" s="34"/>
      <c r="N31" s="32"/>
      <c r="O31" s="32"/>
      <c r="P31" s="34"/>
      <c r="Q31" s="34"/>
      <c r="R31" s="32"/>
      <c r="S31" s="137" t="s">
        <v>123</v>
      </c>
      <c r="T31" s="138"/>
      <c r="U31" s="34"/>
      <c r="V31" s="32"/>
      <c r="W31" s="32"/>
      <c r="X31" s="34"/>
      <c r="Y31" s="34"/>
      <c r="Z31" s="32"/>
      <c r="AA31" s="32"/>
      <c r="AB31" s="34"/>
      <c r="AC31" s="32"/>
      <c r="AD31" s="57"/>
      <c r="AE31" s="53"/>
      <c r="AF31" s="34"/>
      <c r="AG31" s="32"/>
      <c r="AH31" s="32"/>
      <c r="AI31" s="45"/>
      <c r="AJ31" s="46"/>
      <c r="AK31" s="35"/>
      <c r="AL31" s="32"/>
      <c r="AM31" s="36"/>
    </row>
    <row r="32" spans="1:39" ht="15.75" thickBot="1" x14ac:dyDescent="0.3">
      <c r="A32" s="32"/>
      <c r="B32" s="33"/>
      <c r="C32" s="48"/>
      <c r="D32" s="49"/>
      <c r="E32" s="50"/>
      <c r="F32" s="51"/>
      <c r="G32" s="58">
        <v>46209</v>
      </c>
      <c r="H32" s="59">
        <v>94</v>
      </c>
      <c r="I32" s="69"/>
      <c r="J32" s="32"/>
      <c r="K32" s="32"/>
      <c r="L32" s="34"/>
      <c r="M32" s="34"/>
      <c r="N32" s="32"/>
      <c r="O32" s="32"/>
      <c r="P32" s="34"/>
      <c r="Q32" s="34"/>
      <c r="R32" s="32"/>
      <c r="S32" s="141"/>
      <c r="T32" s="141"/>
      <c r="U32" s="34"/>
      <c r="V32" s="32"/>
      <c r="W32" s="32"/>
      <c r="X32" s="34"/>
      <c r="Y32" s="34"/>
      <c r="Z32" s="32"/>
      <c r="AA32" s="32"/>
      <c r="AB32" s="34"/>
      <c r="AC32" s="32"/>
      <c r="AD32" s="57"/>
      <c r="AE32" s="58">
        <v>46210</v>
      </c>
      <c r="AF32" s="59">
        <v>96</v>
      </c>
      <c r="AG32" s="32"/>
      <c r="AH32" s="52"/>
      <c r="AI32" s="48"/>
      <c r="AJ32" s="49"/>
      <c r="AK32" s="35"/>
      <c r="AL32" s="32"/>
      <c r="AM32" s="36"/>
    </row>
    <row r="33" spans="1:39" ht="15.75" thickBot="1" x14ac:dyDescent="0.3">
      <c r="A33" s="32"/>
      <c r="B33" s="33"/>
      <c r="C33" s="53"/>
      <c r="D33" s="34"/>
      <c r="E33" s="54"/>
      <c r="F33" s="55"/>
      <c r="G33" s="45"/>
      <c r="H33" s="46"/>
      <c r="I33" s="70"/>
      <c r="J33" s="32"/>
      <c r="K33" s="32"/>
      <c r="L33" s="34"/>
      <c r="M33" s="34"/>
      <c r="N33" s="32"/>
      <c r="O33" s="32"/>
      <c r="P33" s="34"/>
      <c r="Q33" s="34"/>
      <c r="R33" s="32"/>
      <c r="S33" s="32"/>
      <c r="T33" s="32"/>
      <c r="U33" s="34"/>
      <c r="V33" s="32"/>
      <c r="W33" s="32"/>
      <c r="X33" s="34"/>
      <c r="Y33" s="34"/>
      <c r="Z33" s="32"/>
      <c r="AA33" s="32"/>
      <c r="AB33" s="34"/>
      <c r="AC33" s="32"/>
      <c r="AD33" s="65"/>
      <c r="AE33" s="45"/>
      <c r="AF33" s="46"/>
      <c r="AG33" s="56"/>
      <c r="AH33" s="57"/>
      <c r="AI33" s="53"/>
      <c r="AJ33" s="34"/>
      <c r="AK33" s="35"/>
      <c r="AL33" s="32"/>
      <c r="AM33" s="36"/>
    </row>
    <row r="34" spans="1:39" ht="15.75" thickBot="1" x14ac:dyDescent="0.3">
      <c r="A34" s="32"/>
      <c r="B34" s="33"/>
      <c r="C34" s="58">
        <v>46204</v>
      </c>
      <c r="D34" s="59">
        <v>82</v>
      </c>
      <c r="E34" s="60"/>
      <c r="F34" s="51"/>
      <c r="G34" s="48"/>
      <c r="H34" s="49"/>
      <c r="I34" s="47"/>
      <c r="J34" s="32"/>
      <c r="K34" s="32"/>
      <c r="L34" s="34"/>
      <c r="M34" s="34"/>
      <c r="N34" s="32"/>
      <c r="O34" s="32"/>
      <c r="P34" s="34"/>
      <c r="Q34" s="34"/>
      <c r="R34" s="32"/>
      <c r="S34" s="32"/>
      <c r="T34" s="32"/>
      <c r="U34" s="34"/>
      <c r="V34" s="32"/>
      <c r="W34" s="32"/>
      <c r="X34" s="34"/>
      <c r="Y34" s="34"/>
      <c r="Z34" s="32"/>
      <c r="AA34" s="32"/>
      <c r="AB34" s="34"/>
      <c r="AC34" s="32"/>
      <c r="AD34" s="32"/>
      <c r="AE34" s="48"/>
      <c r="AF34" s="49"/>
      <c r="AG34" s="32"/>
      <c r="AH34" s="57"/>
      <c r="AI34" s="58">
        <v>46206</v>
      </c>
      <c r="AJ34" s="59">
        <v>87</v>
      </c>
      <c r="AK34" s="35"/>
      <c r="AL34" s="32"/>
      <c r="AM34" s="36"/>
    </row>
    <row r="35" spans="1:39" ht="15.75" thickBot="1" x14ac:dyDescent="0.3">
      <c r="A35" s="32"/>
      <c r="B35" s="33"/>
      <c r="C35" s="45"/>
      <c r="D35" s="46"/>
      <c r="E35" s="54"/>
      <c r="F35" s="62"/>
      <c r="G35" s="32"/>
      <c r="H35" s="34"/>
      <c r="I35" s="34"/>
      <c r="J35" s="32"/>
      <c r="K35" s="32"/>
      <c r="L35" s="34"/>
      <c r="M35" s="34"/>
      <c r="N35" s="32"/>
      <c r="O35" s="32"/>
      <c r="P35" s="34"/>
      <c r="Q35" s="34"/>
      <c r="R35" s="32"/>
      <c r="S35" s="32"/>
      <c r="T35" s="32"/>
      <c r="U35" s="34"/>
      <c r="V35" s="32"/>
      <c r="W35" s="32"/>
      <c r="X35" s="34"/>
      <c r="Y35" s="34"/>
      <c r="Z35" s="32"/>
      <c r="AA35" s="32"/>
      <c r="AB35" s="34"/>
      <c r="AC35" s="32"/>
      <c r="AD35" s="32"/>
      <c r="AE35" s="32"/>
      <c r="AF35" s="34"/>
      <c r="AG35" s="32"/>
      <c r="AH35" s="65"/>
      <c r="AI35" s="45"/>
      <c r="AJ35" s="46"/>
      <c r="AK35" s="35"/>
      <c r="AL35" s="32"/>
      <c r="AM35" s="36"/>
    </row>
    <row r="36" spans="1:39" ht="15.75" thickBot="1" x14ac:dyDescent="0.3">
      <c r="A36" s="32"/>
      <c r="B36" s="33"/>
      <c r="C36" s="48"/>
      <c r="D36" s="49"/>
      <c r="E36" s="66"/>
      <c r="F36" s="32"/>
      <c r="G36" s="32"/>
      <c r="H36" s="34"/>
      <c r="I36" s="34"/>
      <c r="J36" s="32"/>
      <c r="K36" s="32"/>
      <c r="L36" s="34"/>
      <c r="M36" s="34"/>
      <c r="N36" s="32"/>
      <c r="O36" s="32"/>
      <c r="P36" s="34"/>
      <c r="Q36" s="34"/>
      <c r="R36" s="32"/>
      <c r="S36" s="32"/>
      <c r="T36" s="32"/>
      <c r="U36" s="34"/>
      <c r="V36" s="32"/>
      <c r="W36" s="32"/>
      <c r="X36" s="34"/>
      <c r="Y36" s="34"/>
      <c r="Z36" s="32"/>
      <c r="AA36" s="32"/>
      <c r="AB36" s="34"/>
      <c r="AC36" s="32"/>
      <c r="AD36" s="32"/>
      <c r="AE36" s="32"/>
      <c r="AF36" s="34"/>
      <c r="AG36" s="32"/>
      <c r="AH36" s="32"/>
      <c r="AI36" s="48"/>
      <c r="AJ36" s="49"/>
      <c r="AK36" s="35"/>
      <c r="AL36" s="32"/>
      <c r="AM36" s="36"/>
    </row>
    <row r="37" spans="1:39" x14ac:dyDescent="0.25">
      <c r="A37" s="32"/>
      <c r="B37" s="33"/>
      <c r="C37" s="32"/>
      <c r="D37" s="34"/>
      <c r="E37" s="34"/>
      <c r="F37" s="32"/>
      <c r="G37" s="32"/>
      <c r="H37" s="34"/>
      <c r="I37" s="34"/>
      <c r="J37" s="32"/>
      <c r="K37" s="32"/>
      <c r="L37" s="34"/>
      <c r="M37" s="34"/>
      <c r="N37" s="32"/>
      <c r="O37" s="32"/>
      <c r="P37" s="34"/>
      <c r="Q37" s="34"/>
      <c r="R37" s="32"/>
      <c r="S37" s="32"/>
      <c r="T37" s="32"/>
      <c r="U37" s="34"/>
      <c r="V37" s="32"/>
      <c r="W37" s="32"/>
      <c r="X37" s="34"/>
      <c r="Y37" s="34"/>
      <c r="Z37" s="32"/>
      <c r="AA37" s="32"/>
      <c r="AB37" s="34"/>
      <c r="AC37" s="32"/>
      <c r="AD37" s="32"/>
      <c r="AE37" s="32"/>
      <c r="AF37" s="34"/>
      <c r="AG37" s="32"/>
      <c r="AH37" s="32"/>
      <c r="AI37" s="32"/>
      <c r="AJ37" s="34"/>
      <c r="AK37" s="35"/>
      <c r="AL37" s="32"/>
      <c r="AM37" s="36"/>
    </row>
    <row r="38" spans="1:39" x14ac:dyDescent="0.25">
      <c r="A38" s="36"/>
      <c r="B38" s="83"/>
      <c r="C38" s="36"/>
      <c r="D38" s="84"/>
      <c r="E38" s="84"/>
      <c r="F38" s="36"/>
      <c r="G38" s="36"/>
      <c r="H38" s="84"/>
      <c r="I38" s="84"/>
      <c r="J38" s="36"/>
      <c r="K38" s="36"/>
      <c r="L38" s="84"/>
      <c r="M38" s="84"/>
      <c r="N38" s="36"/>
      <c r="O38" s="36"/>
      <c r="P38" s="84"/>
      <c r="Q38" s="84"/>
      <c r="R38" s="36"/>
      <c r="S38" s="36"/>
      <c r="T38" s="36"/>
      <c r="U38" s="84"/>
      <c r="V38" s="36"/>
      <c r="W38" s="36"/>
      <c r="X38" s="84"/>
      <c r="Y38" s="84"/>
      <c r="Z38" s="36"/>
      <c r="AA38" s="36"/>
      <c r="AB38" s="84"/>
      <c r="AC38" s="36"/>
      <c r="AD38" s="36"/>
      <c r="AE38" s="36"/>
      <c r="AF38" s="84"/>
      <c r="AG38" s="36"/>
      <c r="AH38" s="36"/>
      <c r="AI38" s="36"/>
      <c r="AJ38" s="84"/>
      <c r="AK38" s="85"/>
      <c r="AL38" s="36"/>
      <c r="AM38" s="36"/>
    </row>
    <row r="39" spans="1:39" x14ac:dyDescent="0.25">
      <c r="A39" s="36"/>
      <c r="B39" s="83"/>
      <c r="C39" s="36"/>
      <c r="D39" s="84"/>
      <c r="E39" s="84"/>
      <c r="F39" s="36"/>
      <c r="G39" s="36"/>
      <c r="H39" s="84"/>
      <c r="I39" s="84"/>
      <c r="J39" s="36"/>
      <c r="K39" s="36"/>
      <c r="L39" s="84"/>
      <c r="M39" s="84"/>
      <c r="N39" s="36"/>
      <c r="O39" s="36"/>
      <c r="P39" s="84"/>
      <c r="Q39" s="84"/>
      <c r="R39" s="36"/>
      <c r="S39" s="36"/>
      <c r="T39" s="36"/>
      <c r="U39" s="84"/>
      <c r="V39" s="36"/>
      <c r="W39" s="36"/>
      <c r="X39" s="84"/>
      <c r="Y39" s="84"/>
      <c r="Z39" s="36"/>
      <c r="AA39" s="36"/>
      <c r="AB39" s="84"/>
      <c r="AC39" s="36"/>
      <c r="AD39" s="36"/>
      <c r="AE39" s="36"/>
      <c r="AF39" s="84"/>
      <c r="AG39" s="36"/>
      <c r="AH39" s="36"/>
      <c r="AI39" s="36"/>
      <c r="AJ39" s="84"/>
      <c r="AK39" s="85"/>
      <c r="AL39" s="36"/>
      <c r="AM39" s="36"/>
    </row>
    <row r="40" spans="1:39" x14ac:dyDescent="0.25">
      <c r="A40" s="36"/>
      <c r="B40" s="83"/>
      <c r="C40" s="36"/>
      <c r="D40" s="84"/>
      <c r="E40" s="84"/>
      <c r="F40" s="36"/>
      <c r="G40" s="36"/>
      <c r="H40" s="84"/>
      <c r="I40" s="84"/>
      <c r="J40" s="36"/>
      <c r="K40" s="36"/>
      <c r="L40" s="84"/>
      <c r="M40" s="84"/>
      <c r="N40" s="36"/>
      <c r="O40" s="36"/>
      <c r="P40" s="84"/>
      <c r="Q40" s="84"/>
      <c r="R40" s="36"/>
      <c r="S40" s="36"/>
      <c r="T40" s="36"/>
      <c r="U40" s="84"/>
      <c r="V40" s="36"/>
      <c r="W40" s="36"/>
      <c r="X40" s="84"/>
      <c r="Y40" s="84"/>
      <c r="Z40" s="36"/>
      <c r="AA40" s="36"/>
      <c r="AB40" s="84"/>
      <c r="AC40" s="36"/>
      <c r="AD40" s="36"/>
      <c r="AE40" s="36"/>
      <c r="AF40" s="84"/>
      <c r="AG40" s="36"/>
      <c r="AH40" s="36"/>
      <c r="AI40" s="36"/>
      <c r="AJ40" s="84"/>
      <c r="AK40" s="85"/>
      <c r="AL40" s="36"/>
      <c r="AM40" s="36"/>
    </row>
    <row r="41" spans="1:39" x14ac:dyDescent="0.25">
      <c r="A41" s="36"/>
      <c r="B41" s="83"/>
      <c r="C41" s="36"/>
      <c r="D41" s="84"/>
      <c r="E41" s="84"/>
      <c r="F41" s="36"/>
      <c r="G41" s="36"/>
      <c r="H41" s="84"/>
      <c r="I41" s="84"/>
      <c r="J41" s="36"/>
      <c r="K41" s="36"/>
      <c r="L41" s="84"/>
      <c r="M41" s="84"/>
      <c r="N41" s="36"/>
      <c r="O41" s="36"/>
      <c r="P41" s="84"/>
      <c r="Q41" s="84"/>
      <c r="R41" s="36"/>
      <c r="S41" s="36"/>
      <c r="T41" s="36"/>
      <c r="U41" s="84"/>
      <c r="V41" s="36"/>
      <c r="W41" s="36"/>
      <c r="X41" s="84"/>
      <c r="Y41" s="84"/>
      <c r="Z41" s="36"/>
      <c r="AA41" s="36"/>
      <c r="AB41" s="84"/>
      <c r="AC41" s="36"/>
      <c r="AD41" s="36"/>
      <c r="AE41" s="36"/>
      <c r="AF41" s="84"/>
      <c r="AG41" s="36"/>
      <c r="AH41" s="36"/>
      <c r="AI41" s="36"/>
      <c r="AJ41" s="84"/>
      <c r="AK41" s="85"/>
      <c r="AL41" s="36"/>
      <c r="AM41" s="36"/>
    </row>
    <row r="42" spans="1:39" x14ac:dyDescent="0.25">
      <c r="A42" s="36"/>
      <c r="B42" s="83"/>
      <c r="C42" s="36"/>
      <c r="D42" s="84"/>
      <c r="E42" s="84"/>
      <c r="F42" s="36"/>
      <c r="G42" s="36"/>
      <c r="H42" s="84"/>
      <c r="I42" s="84"/>
      <c r="J42" s="36"/>
      <c r="K42" s="36"/>
      <c r="L42" s="84"/>
      <c r="M42" s="84"/>
      <c r="N42" s="36"/>
      <c r="O42" s="36"/>
      <c r="P42" s="84"/>
      <c r="Q42" s="84"/>
      <c r="R42" s="36"/>
      <c r="S42" s="36"/>
      <c r="T42" s="36"/>
      <c r="U42" s="84"/>
      <c r="V42" s="36"/>
      <c r="W42" s="36"/>
      <c r="X42" s="84"/>
      <c r="Y42" s="84"/>
      <c r="Z42" s="36"/>
      <c r="AA42" s="36"/>
      <c r="AB42" s="84"/>
      <c r="AC42" s="36"/>
      <c r="AD42" s="36"/>
      <c r="AE42" s="36"/>
      <c r="AF42" s="84"/>
      <c r="AG42" s="36"/>
      <c r="AH42" s="36"/>
      <c r="AI42" s="36"/>
      <c r="AJ42" s="84"/>
      <c r="AK42" s="85"/>
      <c r="AL42" s="36"/>
      <c r="AM42" s="36"/>
    </row>
    <row r="43" spans="1:39" x14ac:dyDescent="0.25">
      <c r="A43" s="36"/>
      <c r="B43" s="83"/>
      <c r="C43" s="36"/>
      <c r="D43" s="84"/>
      <c r="E43" s="84"/>
      <c r="F43" s="36"/>
      <c r="G43" s="36"/>
      <c r="H43" s="84"/>
      <c r="I43" s="84"/>
      <c r="J43" s="36"/>
      <c r="K43" s="36"/>
      <c r="L43" s="84"/>
      <c r="M43" s="84"/>
      <c r="N43" s="36"/>
      <c r="O43" s="36"/>
      <c r="P43" s="84"/>
      <c r="Q43" s="84"/>
      <c r="R43" s="36"/>
      <c r="S43" s="36"/>
      <c r="T43" s="36"/>
      <c r="U43" s="84"/>
      <c r="V43" s="36"/>
      <c r="W43" s="36"/>
      <c r="X43" s="84"/>
      <c r="Y43" s="84"/>
      <c r="Z43" s="36"/>
      <c r="AA43" s="36"/>
      <c r="AB43" s="84"/>
      <c r="AC43" s="36"/>
      <c r="AD43" s="36"/>
      <c r="AE43" s="36"/>
      <c r="AF43" s="84"/>
      <c r="AG43" s="36"/>
      <c r="AH43" s="36"/>
      <c r="AI43" s="36"/>
      <c r="AJ43" s="84"/>
      <c r="AK43" s="85"/>
      <c r="AL43" s="36"/>
      <c r="AM43" s="36"/>
    </row>
    <row r="44" spans="1:39" x14ac:dyDescent="0.25">
      <c r="A44" s="36"/>
      <c r="B44" s="83"/>
      <c r="C44" s="36"/>
      <c r="D44" s="84"/>
      <c r="E44" s="84"/>
      <c r="F44" s="36"/>
      <c r="G44" s="36"/>
      <c r="H44" s="84"/>
      <c r="I44" s="84"/>
      <c r="J44" s="36"/>
      <c r="K44" s="36"/>
      <c r="L44" s="84"/>
      <c r="M44" s="84"/>
      <c r="N44" s="36"/>
      <c r="O44" s="36"/>
      <c r="P44" s="84"/>
      <c r="Q44" s="84"/>
      <c r="R44" s="36"/>
      <c r="S44" s="36"/>
      <c r="T44" s="36"/>
      <c r="U44" s="84"/>
      <c r="V44" s="36"/>
      <c r="W44" s="36"/>
      <c r="X44" s="84"/>
      <c r="Y44" s="84"/>
      <c r="Z44" s="36"/>
      <c r="AA44" s="36"/>
      <c r="AB44" s="84"/>
      <c r="AC44" s="36"/>
      <c r="AD44" s="36"/>
      <c r="AE44" s="36"/>
      <c r="AF44" s="84"/>
      <c r="AG44" s="36"/>
      <c r="AH44" s="36"/>
      <c r="AI44" s="36"/>
      <c r="AJ44" s="84"/>
      <c r="AK44" s="85"/>
      <c r="AL44" s="36"/>
      <c r="AM44" s="36"/>
    </row>
    <row r="45" spans="1:39" x14ac:dyDescent="0.25">
      <c r="A45" s="36"/>
      <c r="B45" s="83"/>
      <c r="C45" s="36"/>
      <c r="D45" s="84"/>
      <c r="E45" s="84"/>
      <c r="F45" s="36"/>
      <c r="G45" s="36"/>
      <c r="H45" s="84"/>
      <c r="I45" s="84"/>
      <c r="J45" s="36"/>
      <c r="K45" s="36"/>
      <c r="L45" s="84"/>
      <c r="M45" s="84"/>
      <c r="N45" s="36"/>
      <c r="O45" s="36"/>
      <c r="P45" s="84"/>
      <c r="Q45" s="84"/>
      <c r="R45" s="36"/>
      <c r="S45" s="36"/>
      <c r="T45" s="36"/>
      <c r="U45" s="84"/>
      <c r="V45" s="36"/>
      <c r="W45" s="36"/>
      <c r="X45" s="84"/>
      <c r="Y45" s="84"/>
      <c r="Z45" s="36"/>
      <c r="AA45" s="36"/>
      <c r="AB45" s="84"/>
      <c r="AC45" s="36"/>
      <c r="AD45" s="36"/>
      <c r="AE45" s="36"/>
      <c r="AF45" s="84"/>
      <c r="AG45" s="36"/>
      <c r="AH45" s="36"/>
      <c r="AI45" s="36"/>
      <c r="AJ45" s="84"/>
      <c r="AK45" s="85"/>
      <c r="AL45" s="36"/>
      <c r="AM45" s="36"/>
    </row>
  </sheetData>
  <mergeCells count="16">
    <mergeCell ref="S26:T26"/>
    <mergeCell ref="S31:T31"/>
    <mergeCell ref="S32:T32"/>
    <mergeCell ref="Q14:V14"/>
    <mergeCell ref="Q15:V16"/>
    <mergeCell ref="O18:P18"/>
    <mergeCell ref="W18:X18"/>
    <mergeCell ref="S20:T20"/>
    <mergeCell ref="S25:T25"/>
    <mergeCell ref="B2:AK2"/>
    <mergeCell ref="C5:D5"/>
    <mergeCell ref="AI5:AJ5"/>
    <mergeCell ref="G7:H7"/>
    <mergeCell ref="AE7:AF7"/>
    <mergeCell ref="K11:L11"/>
    <mergeCell ref="AA11:AB1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GRUPOS</vt:lpstr>
      <vt:lpstr>PONTUAÇÃO EXTRA</vt:lpstr>
      <vt:lpstr>MATA MATA (NÃO PREENCHER AINDA)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LUIZ CORRÊA</dc:creator>
  <cp:lastModifiedBy>Schlickmann, Julio Cesar Camargo</cp:lastModifiedBy>
  <dcterms:created xsi:type="dcterms:W3CDTF">2026-05-19T12:09:26Z</dcterms:created>
  <dcterms:modified xsi:type="dcterms:W3CDTF">2026-06-10T16:50:21Z</dcterms:modified>
</cp:coreProperties>
</file>